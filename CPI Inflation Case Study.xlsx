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k123\Downloads\"/>
    </mc:Choice>
  </mc:AlternateContent>
  <xr:revisionPtr revIDLastSave="0" documentId="13_ncr:1_{E06C019E-2B28-4D96-8D57-F1C36E66ABE8}" xr6:coauthVersionLast="47" xr6:coauthVersionMax="47" xr10:uidLastSave="{00000000-0000-0000-0000-000000000000}"/>
  <bookViews>
    <workbookView xWindow="0" yWindow="300" windowWidth="23256" windowHeight="12576" firstSheet="1" activeTab="1" xr2:uid="{00000000-000D-0000-FFFF-FFFF00000000}"/>
  </bookViews>
  <sheets>
    <sheet name="All_India_Index_Upto_April23" sheetId="4" r:id="rId1"/>
    <sheet name="DashBoard" sheetId="12" r:id="rId2"/>
    <sheet name="Story" sheetId="13" state="hidden" r:id="rId3"/>
    <sheet name="CPI Story" sheetId="14" r:id="rId4"/>
    <sheet name="Analysis 1" sheetId="5" r:id="rId5"/>
    <sheet name="Analysis 2" sheetId="6" r:id="rId6"/>
    <sheet name="Analysis 3" sheetId="8" r:id="rId7"/>
    <sheet name="Analysis 4" sheetId="9" r:id="rId8"/>
    <sheet name="Analysis 5" sheetId="11" r:id="rId9"/>
    <sheet name="Crude Oil Prices" sheetId="10" r:id="rId10"/>
    <sheet name="RawAll_India_Index_Upto_April23" sheetId="1" state="hidden" r:id="rId11"/>
    <sheet name="Notes" sheetId="2" r:id="rId12"/>
  </sheets>
  <definedNames>
    <definedName name="_xlnm._FilterDatabase" localSheetId="0" hidden="1">All_India_Index_Upto_April23!$A$1:$AI$373</definedName>
    <definedName name="_xlnm._FilterDatabase" localSheetId="5" hidden="1">'Analysis 2'!$J$1:$M$77</definedName>
    <definedName name="_xlnm._FilterDatabase" localSheetId="10" hidden="1">RawAll_India_Index_Upto_April23!$A$1:$AD$374</definedName>
  </definedNames>
  <calcPr calcId="191028"/>
  <pivotCaches>
    <pivotCache cacheId="4" r:id="rId13"/>
    <pivotCache cacheId="5" r:id="rId14"/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H59" i="9"/>
  <c r="G60" i="9"/>
  <c r="H47" i="9"/>
  <c r="H48" i="9"/>
  <c r="H49" i="9"/>
  <c r="H50" i="9"/>
  <c r="H51" i="9"/>
  <c r="H52" i="9"/>
  <c r="H53" i="9"/>
  <c r="H54" i="9"/>
  <c r="H55" i="9"/>
  <c r="H56" i="9"/>
  <c r="H57" i="9"/>
  <c r="H58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46" i="9"/>
  <c r="G55" i="9"/>
  <c r="G74" i="9"/>
  <c r="G46" i="9"/>
  <c r="G57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47" i="9"/>
  <c r="G48" i="9"/>
  <c r="G49" i="9"/>
  <c r="G50" i="9"/>
  <c r="G51" i="9"/>
  <c r="G52" i="9"/>
  <c r="G53" i="9"/>
  <c r="G54" i="9"/>
  <c r="G56" i="9"/>
  <c r="G58" i="9"/>
  <c r="G59" i="9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H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G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F3" i="4"/>
  <c r="AF2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G20" i="9"/>
  <c r="D61" i="8"/>
  <c r="C61" i="8"/>
  <c r="C6" i="11"/>
  <c r="C7" i="11"/>
  <c r="F4" i="6"/>
  <c r="F5" i="6"/>
  <c r="F11" i="6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37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" i="11"/>
  <c r="E5" i="11"/>
  <c r="F5" i="11"/>
  <c r="G5" i="11"/>
  <c r="H5" i="11"/>
  <c r="I5" i="11"/>
  <c r="J5" i="11"/>
  <c r="K5" i="11"/>
  <c r="L5" i="11"/>
  <c r="M5" i="11"/>
  <c r="N5" i="11"/>
  <c r="E6" i="11"/>
  <c r="F6" i="11"/>
  <c r="G6" i="11"/>
  <c r="H6" i="11"/>
  <c r="I6" i="11"/>
  <c r="J6" i="11"/>
  <c r="K6" i="11"/>
  <c r="L6" i="11"/>
  <c r="M6" i="11"/>
  <c r="N6" i="11"/>
  <c r="E7" i="11"/>
  <c r="F7" i="11"/>
  <c r="G7" i="11"/>
  <c r="H7" i="11"/>
  <c r="I7" i="11"/>
  <c r="J7" i="11"/>
  <c r="K7" i="11"/>
  <c r="L7" i="11"/>
  <c r="M7" i="11"/>
  <c r="N7" i="11"/>
  <c r="D6" i="11"/>
  <c r="D7" i="11"/>
  <c r="D5" i="11"/>
  <c r="O4" i="11"/>
  <c r="O7" i="11" s="1"/>
  <c r="O3" i="11"/>
  <c r="O6" i="11" s="1"/>
  <c r="O2" i="11"/>
  <c r="O5" i="11" s="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" i="10"/>
  <c r="V6" i="9"/>
  <c r="V7" i="9"/>
  <c r="V5" i="9"/>
  <c r="U7" i="9"/>
  <c r="U6" i="9"/>
  <c r="U5" i="9"/>
  <c r="I20" i="9"/>
  <c r="J20" i="9"/>
  <c r="I22" i="9"/>
  <c r="J22" i="9"/>
  <c r="I24" i="9"/>
  <c r="J24" i="9"/>
  <c r="I26" i="9"/>
  <c r="J26" i="9"/>
  <c r="I28" i="9"/>
  <c r="J28" i="9"/>
  <c r="I30" i="9"/>
  <c r="J30" i="9"/>
  <c r="I32" i="9"/>
  <c r="J32" i="9"/>
  <c r="I34" i="9"/>
  <c r="J34" i="9"/>
  <c r="I36" i="9"/>
  <c r="J36" i="9"/>
  <c r="H36" i="9"/>
  <c r="H34" i="9"/>
  <c r="H32" i="9"/>
  <c r="H30" i="9"/>
  <c r="H28" i="9"/>
  <c r="H26" i="9"/>
  <c r="H24" i="9"/>
  <c r="H22" i="9"/>
  <c r="H20" i="9"/>
  <c r="G6" i="9"/>
  <c r="H6" i="9"/>
  <c r="I6" i="9" s="1"/>
  <c r="J6" i="9" s="1"/>
  <c r="G7" i="9"/>
  <c r="H7" i="9"/>
  <c r="I7" i="9" s="1"/>
  <c r="J7" i="9" s="1"/>
  <c r="H5" i="9"/>
  <c r="G5" i="9"/>
  <c r="J5" i="8"/>
  <c r="J6" i="8"/>
  <c r="J7" i="8"/>
  <c r="J8" i="8"/>
  <c r="J9" i="8"/>
  <c r="J10" i="8"/>
  <c r="J11" i="8"/>
  <c r="J12" i="8"/>
  <c r="J13" i="8"/>
  <c r="J14" i="8"/>
  <c r="J15" i="8"/>
  <c r="J16" i="8"/>
  <c r="J4" i="8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F6" i="6"/>
  <c r="G6" i="6" s="1"/>
  <c r="F7" i="6"/>
  <c r="G7" i="6" s="1"/>
  <c r="F8" i="6"/>
  <c r="G8" i="6" s="1"/>
  <c r="F9" i="6"/>
  <c r="G9" i="6" s="1"/>
  <c r="F10" i="6"/>
  <c r="E35" i="6"/>
  <c r="E36" i="6"/>
  <c r="E37" i="6"/>
  <c r="E38" i="6"/>
  <c r="E39" i="6"/>
  <c r="E40" i="6"/>
  <c r="D36" i="6"/>
  <c r="D37" i="6"/>
  <c r="D38" i="6"/>
  <c r="D39" i="6"/>
  <c r="D40" i="6"/>
  <c r="D35" i="6"/>
  <c r="E28" i="8"/>
  <c r="E29" i="8"/>
  <c r="E30" i="8"/>
  <c r="E31" i="8"/>
  <c r="E32" i="8"/>
  <c r="E33" i="8"/>
  <c r="E27" i="8"/>
  <c r="G10" i="6" l="1"/>
  <c r="G11" i="6"/>
  <c r="W5" i="9"/>
  <c r="W6" i="9"/>
  <c r="W7" i="9"/>
  <c r="I5" i="9"/>
  <c r="J5" i="9" s="1"/>
  <c r="AO3" i="5"/>
  <c r="AP5" i="5"/>
  <c r="AO5" i="5"/>
  <c r="AN5" i="5"/>
  <c r="AM5" i="5"/>
  <c r="AP4" i="5"/>
  <c r="AO4" i="5"/>
  <c r="AN4" i="5"/>
  <c r="AM4" i="5"/>
  <c r="AP3" i="5"/>
  <c r="AN3" i="5"/>
  <c r="AM3" i="5"/>
  <c r="AL4" i="5"/>
  <c r="AL5" i="5"/>
  <c r="AL3" i="5"/>
  <c r="AK4" i="5"/>
  <c r="AK5" i="5"/>
  <c r="AK3" i="5"/>
  <c r="AJ4" i="5"/>
  <c r="AJ5" i="5"/>
  <c r="AJ3" i="5"/>
  <c r="AI4" i="5"/>
  <c r="AI5" i="5"/>
  <c r="AI3" i="5"/>
  <c r="AH4" i="5"/>
  <c r="AH5" i="5"/>
  <c r="AH3" i="5"/>
  <c r="AG4" i="5"/>
  <c r="AG5" i="5"/>
  <c r="AG3" i="5"/>
  <c r="AF4" i="5"/>
  <c r="AF5" i="5"/>
  <c r="AF3" i="5"/>
  <c r="AE4" i="5"/>
  <c r="AE5" i="5"/>
  <c r="AE3" i="5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D374" i="1"/>
</calcChain>
</file>

<file path=xl/sharedStrings.xml><?xml version="1.0" encoding="utf-8"?>
<sst xmlns="http://schemas.openxmlformats.org/spreadsheetml/2006/main" count="3303" uniqueCount="214">
  <si>
    <t>Sector</t>
  </si>
  <si>
    <t>Year</t>
  </si>
  <si>
    <t>Month</t>
  </si>
  <si>
    <t>Year-Month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</si>
  <si>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</si>
  <si>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</si>
  <si>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</si>
  <si>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</si>
  <si>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</si>
  <si>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</si>
  <si>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</si>
  <si>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</si>
  <si>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</si>
  <si>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</si>
  <si>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</si>
  <si>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</si>
  <si>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</si>
  <si>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</si>
  <si>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</si>
  <si>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</si>
  <si>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</si>
  <si>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</si>
  <si>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</si>
  <si>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</si>
  <si>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</si>
  <si>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</si>
  <si>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</si>
  <si>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</si>
  <si>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</si>
  <si>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</si>
  <si>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</si>
  <si>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Food Beverages</t>
  </si>
  <si>
    <t>Miscellaneous2</t>
  </si>
  <si>
    <t>Clothing and footwear3</t>
  </si>
  <si>
    <t>Essentials</t>
  </si>
  <si>
    <t>HealthCare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</si>
  <si>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</si>
  <si>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</si>
  <si>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</si>
  <si>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</si>
  <si>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</si>
  <si>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</si>
  <si>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</si>
  <si>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</si>
  <si>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</si>
  <si>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</si>
  <si>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</si>
  <si>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</si>
  <si>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</si>
  <si>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</si>
  <si>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</si>
  <si>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</si>
  <si>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</si>
  <si>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Food and Beverages</t>
  </si>
  <si>
    <t>Average</t>
  </si>
  <si>
    <t>Summing anf Dividing by counts</t>
  </si>
  <si>
    <t>% contribution</t>
  </si>
  <si>
    <t>Highest Contibution</t>
  </si>
  <si>
    <t>Category</t>
  </si>
  <si>
    <t>Clothing Footware</t>
  </si>
  <si>
    <t>Highest Contribution towards CPI</t>
  </si>
  <si>
    <t>Row Labels</t>
  </si>
  <si>
    <t>General_index</t>
  </si>
  <si>
    <t>% diff from Prev year</t>
  </si>
  <si>
    <t>Years</t>
  </si>
  <si>
    <t>Months</t>
  </si>
  <si>
    <t>Values</t>
  </si>
  <si>
    <t>Food - Cereals and products</t>
  </si>
  <si>
    <t>Gen index</t>
  </si>
  <si>
    <t>Food - Meat and fish</t>
  </si>
  <si>
    <t>F&amp;B</t>
  </si>
  <si>
    <t>Food - Egg</t>
  </si>
  <si>
    <t>C&amp;F</t>
  </si>
  <si>
    <t>Food - Milk and products</t>
  </si>
  <si>
    <t>Essen</t>
  </si>
  <si>
    <t>Highest Infaltion rate</t>
  </si>
  <si>
    <t>Food - Oils and fats</t>
  </si>
  <si>
    <t>HC</t>
  </si>
  <si>
    <t>Food - Fruits</t>
  </si>
  <si>
    <t>Misc</t>
  </si>
  <si>
    <t>Grand Total</t>
  </si>
  <si>
    <t xml:space="preserve">2022 has highest INfaltion </t>
  </si>
  <si>
    <t>Food - Vegetables</t>
  </si>
  <si>
    <t>Increase in Spending on Spices, Footware and Fuel Light</t>
  </si>
  <si>
    <t>Food - Pulses and products</t>
  </si>
  <si>
    <t>Spices rise 20% and Footware rise by 17% approx.</t>
  </si>
  <si>
    <t>Food - Sugar and Confectionery</t>
  </si>
  <si>
    <t>Food - Spices</t>
  </si>
  <si>
    <t>Food - Non-alcoholic beverages</t>
  </si>
  <si>
    <t>Food - Prepared meals, snacks, sweets etc.</t>
  </si>
  <si>
    <t>Food - Food and beverages</t>
  </si>
  <si>
    <t>Misc - Pan, tobacco and intoxicants</t>
  </si>
  <si>
    <t>CF Clothing</t>
  </si>
  <si>
    <t>CF Footwear</t>
  </si>
  <si>
    <t>CF Clothing and footwear</t>
  </si>
  <si>
    <t>HH - Housing</t>
  </si>
  <si>
    <t>HH -Fuel and light</t>
  </si>
  <si>
    <t>HH - Household goods and services</t>
  </si>
  <si>
    <t>Misc - Health</t>
  </si>
  <si>
    <t>Misc - Transport and communication</t>
  </si>
  <si>
    <t>Misc - Recreation and amusement</t>
  </si>
  <si>
    <t>Misc - Education</t>
  </si>
  <si>
    <t>Misc - Personal care and effects</t>
  </si>
  <si>
    <t>Misc - Miscellaneous</t>
  </si>
  <si>
    <t>Misc - General index</t>
  </si>
  <si>
    <t>Sum of General index</t>
  </si>
  <si>
    <t>Column Labels</t>
  </si>
  <si>
    <t>% Change in F&amp;B</t>
  </si>
  <si>
    <t>Absolute change in F&amp;B</t>
  </si>
  <si>
    <t>F&amp;B - Cereals and products</t>
  </si>
  <si>
    <t>Highest Inflation</t>
  </si>
  <si>
    <t>F&amp;B - Meat and fish</t>
  </si>
  <si>
    <t>F&amp;B - Egg</t>
  </si>
  <si>
    <t>F&amp;B - Milk and products</t>
  </si>
  <si>
    <t>F&amp;B - Oils and fats</t>
  </si>
  <si>
    <t>F&amp;B - Fruits</t>
  </si>
  <si>
    <t>F&amp;B - Vegetables</t>
  </si>
  <si>
    <t>Lowest Inflation</t>
  </si>
  <si>
    <t>F&amp;B - Pulses and products</t>
  </si>
  <si>
    <t>F&amp;B - Sugar and Confectionery</t>
  </si>
  <si>
    <t>F&amp;B - Spices</t>
  </si>
  <si>
    <t>Biggest Contributor of Inflation</t>
  </si>
  <si>
    <t>F&amp;B - Non-alcoholic beverages</t>
  </si>
  <si>
    <t>F&amp;B - Prepared meals, snacks, sweets etc.</t>
  </si>
  <si>
    <t>F&amp;B - Food and beverages</t>
  </si>
  <si>
    <t>Average of General index</t>
  </si>
  <si>
    <t>(Multiple Items)</t>
  </si>
  <si>
    <t>OnSet Covid</t>
  </si>
  <si>
    <t>OffSet Covid</t>
  </si>
  <si>
    <t>Average of Food Beverages</t>
  </si>
  <si>
    <t>Average of Essentials</t>
  </si>
  <si>
    <t>Average of HealthCare</t>
  </si>
  <si>
    <t>Pre Covid</t>
  </si>
  <si>
    <t>Post Covid</t>
  </si>
  <si>
    <t>Covid</t>
  </si>
  <si>
    <t>Y-o-Y</t>
  </si>
  <si>
    <t>(All)</t>
  </si>
  <si>
    <t>Essential</t>
  </si>
  <si>
    <t>Ess</t>
  </si>
  <si>
    <t>Pre-Covid</t>
  </si>
  <si>
    <t>Post-Covid</t>
  </si>
  <si>
    <t>FB Oils and fats</t>
  </si>
  <si>
    <t>FB Non-alcoholic beverages</t>
  </si>
  <si>
    <t>Ess Transport and communication</t>
  </si>
  <si>
    <t>FB Meat and fish</t>
  </si>
  <si>
    <t>FB Egg</t>
  </si>
  <si>
    <t>FB Cereals and products</t>
  </si>
  <si>
    <t>FB Pulses and products</t>
  </si>
  <si>
    <t>FB Pan, tobacco and intoxicants</t>
  </si>
  <si>
    <t>FB Milk and products</t>
  </si>
  <si>
    <t>Misc Personal care and effects</t>
  </si>
  <si>
    <t>FB Fruits</t>
  </si>
  <si>
    <t xml:space="preserve">Misc </t>
  </si>
  <si>
    <t>FB Vegetables</t>
  </si>
  <si>
    <t>Ess HealthCare</t>
  </si>
  <si>
    <t>FB Sugar and Confectionery</t>
  </si>
  <si>
    <t>FB Spices</t>
  </si>
  <si>
    <t>Ess Fuel and light</t>
  </si>
  <si>
    <t>FB Prepared meals, snacks, sweets etc.</t>
  </si>
  <si>
    <t>Ess Recreation and amusement</t>
  </si>
  <si>
    <t>Ess Housing</t>
  </si>
  <si>
    <t>Gen Index</t>
  </si>
  <si>
    <t>Ess Education</t>
  </si>
  <si>
    <t>Co-Relation</t>
  </si>
  <si>
    <t>Crude Oil (% Change)</t>
  </si>
  <si>
    <t>Co-Relation wit Crude Oil</t>
  </si>
  <si>
    <t>The COVID-19 Inflection Point (March 2020)</t>
  </si>
  <si>
    <t>The pandemic triggered a structural shift, creating a new, higher-cost environment. The average inflation rate for essential goods jumped significantly in the post-pandemic period compared to the years immediately preceding it.</t>
  </si>
  <si>
    <t>Increase in Avg. Food &amp; Beverage Inflation Rate (Pre vs Post-COVID)</t>
  </si>
  <si>
    <t>Increase in Avg. Clothing &amp; Footwear Inflation Rate (Pre vs Post-COVID)</t>
  </si>
  <si>
    <t>Increase in Avg. Fuel &amp; Light Inflation Rate (Pre vs Post-COVID)</t>
  </si>
  <si>
    <t>Marcrh</t>
  </si>
  <si>
    <t>Buckets</t>
  </si>
  <si>
    <t>Data Dictionary</t>
  </si>
  <si>
    <t>Represented Area or Area of Spending/ Purchases</t>
  </si>
  <si>
    <t>No Issues</t>
  </si>
  <si>
    <t>Date</t>
  </si>
  <si>
    <t>Year wise Spending</t>
  </si>
  <si>
    <t>2013-23</t>
  </si>
  <si>
    <t>Base Year will 2012 for all years</t>
  </si>
  <si>
    <t>Monthwise Spending</t>
  </si>
  <si>
    <t>March misspelled in few as Maracch</t>
  </si>
  <si>
    <t>Index is Increase or Decrease to base point 100</t>
  </si>
  <si>
    <t>Index of Cereals and Products</t>
  </si>
  <si>
    <t>NA in Few values</t>
  </si>
  <si>
    <t>Index of Meat and Fish</t>
  </si>
  <si>
    <t>April - May 2020 NA values are present</t>
  </si>
  <si>
    <t>Index of Egg</t>
  </si>
  <si>
    <t>May 2020 NA values are present</t>
  </si>
  <si>
    <t>Index of Milk and products</t>
  </si>
  <si>
    <t>Index of Oils and fats</t>
  </si>
  <si>
    <t>Index of Fruits</t>
  </si>
  <si>
    <t>Index of Vegetables</t>
  </si>
  <si>
    <t>Index of Pulses and products</t>
  </si>
  <si>
    <t>Index of Sugar and Confectionery</t>
  </si>
  <si>
    <t>Index of Spices</t>
  </si>
  <si>
    <t>Index of Non-alcoholic beverages</t>
  </si>
  <si>
    <t>Index of Prepared meals, snacks, sweets etc.</t>
  </si>
  <si>
    <t>Index of Food and beverages</t>
  </si>
  <si>
    <t>Index of Pan, tobacco and intoxicants</t>
  </si>
  <si>
    <t>Index of Clothing</t>
  </si>
  <si>
    <t>Index of Footwear</t>
  </si>
  <si>
    <t>Index of Clothing and footwear</t>
  </si>
  <si>
    <t>Index of Housing</t>
  </si>
  <si>
    <t>April - May 2020 NA &amp; - values are present</t>
  </si>
  <si>
    <t>Index of Fuel and light</t>
  </si>
  <si>
    <t>Index of Household goods and services</t>
  </si>
  <si>
    <t>Index of Health</t>
  </si>
  <si>
    <t>Index of Transport and communication</t>
  </si>
  <si>
    <t>Index of Recreation and amusement</t>
  </si>
  <si>
    <t>Index of Education</t>
  </si>
  <si>
    <t>Index of Personal care and effects</t>
  </si>
  <si>
    <t>Index of Miscellaneous</t>
  </si>
  <si>
    <t>Index of General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</si>
</sst>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5" tint="-0.249977111117893"/>
      <name val="Arial"/>
      <scheme val="minor"/>
    </font>
    <font>
      <b/>
      <sz val="10"/>
      <color theme="7" tint="-0.249977111117893"/>
      <name val="Arial"/>
      <scheme val="minor"/>
    </font>
    <font>
      <b/>
      <sz val="10"/>
      <color theme="5" tint="-0.499984740745262"/>
      <name val="Arial"/>
      <scheme val="minor"/>
    </font>
    <font>
      <b/>
      <sz val="10"/>
      <color rgb="FF000000"/>
      <name val="Arial"/>
      <scheme val="minor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0" fontId="1" fillId="0" borderId="0" xfId="0" applyFont="1" applyAlignment="1">
      <alignment wrapText="1"/>
    </xf>
    <xf numFmtId="165" fontId="1" fillId="0" borderId="0" xfId="0" applyNumberFormat="1" applyFont="1"/>
    <xf numFmtId="165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164" fontId="0" fillId="0" borderId="0" xfId="0" applyNumberFormat="1" applyAlignment="1">
      <alignment wrapText="1"/>
    </xf>
    <xf numFmtId="0" fontId="5" fillId="0" borderId="0" xfId="0" pivotButton="1" applyFont="1"/>
    <xf numFmtId="0" fontId="0" fillId="0" borderId="4" xfId="0" applyBorder="1"/>
    <xf numFmtId="166" fontId="0" fillId="0" borderId="4" xfId="0" applyNumberFormat="1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6" fillId="3" borderId="9" xfId="0" applyFont="1" applyFill="1" applyBorder="1"/>
    <xf numFmtId="0" fontId="6" fillId="0" borderId="9" xfId="0" applyFont="1" applyBorder="1"/>
    <xf numFmtId="2" fontId="7" fillId="0" borderId="9" xfId="0" applyNumberFormat="1" applyFont="1" applyBorder="1"/>
    <xf numFmtId="0" fontId="5" fillId="0" borderId="0" xfId="0" applyFont="1"/>
    <xf numFmtId="10" fontId="7" fillId="0" borderId="9" xfId="0" applyNumberFormat="1" applyFont="1" applyBorder="1"/>
    <xf numFmtId="0" fontId="8" fillId="4" borderId="10" xfId="0" applyFont="1" applyFill="1" applyBorder="1"/>
    <xf numFmtId="10" fontId="8" fillId="4" borderId="10" xfId="0" applyNumberFormat="1" applyFont="1" applyFill="1" applyBorder="1"/>
    <xf numFmtId="0" fontId="6" fillId="0" borderId="0" xfId="0" applyFont="1"/>
    <xf numFmtId="0" fontId="8" fillId="0" borderId="10" xfId="0" applyFont="1" applyBorder="1"/>
    <xf numFmtId="2" fontId="0" fillId="0" borderId="0" xfId="0" applyNumberFormat="1"/>
    <xf numFmtId="10" fontId="5" fillId="0" borderId="0" xfId="0" applyNumberFormat="1" applyFont="1"/>
    <xf numFmtId="0" fontId="8" fillId="4" borderId="11" xfId="0" applyFont="1" applyFill="1" applyBorder="1" applyAlignment="1">
      <alignment horizontal="left"/>
    </xf>
    <xf numFmtId="0" fontId="8" fillId="4" borderId="11" xfId="0" applyFont="1" applyFill="1" applyBorder="1"/>
    <xf numFmtId="10" fontId="8" fillId="4" borderId="11" xfId="0" applyNumberFormat="1" applyFont="1" applyFill="1" applyBorder="1"/>
    <xf numFmtId="165" fontId="8" fillId="4" borderId="11" xfId="0" applyNumberFormat="1" applyFont="1" applyFill="1" applyBorder="1" applyAlignment="1">
      <alignment horizontal="left"/>
    </xf>
    <xf numFmtId="164" fontId="8" fillId="4" borderId="11" xfId="0" applyNumberFormat="1" applyFont="1" applyFill="1" applyBorder="1"/>
    <xf numFmtId="164" fontId="8" fillId="4" borderId="10" xfId="0" applyNumberFormat="1" applyFont="1" applyFill="1" applyBorder="1"/>
    <xf numFmtId="0" fontId="0" fillId="0" borderId="0" xfId="0" applyAlignment="1">
      <alignment horizontal="left" wrapText="1"/>
    </xf>
    <xf numFmtId="0" fontId="9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02">
    <dxf>
      <numFmt numFmtId="14" formatCode="0.00%"/>
    </dxf>
    <dxf>
      <numFmt numFmtId="164" formatCode="0.0"/>
    </dxf>
    <dxf>
      <numFmt numFmtId="164" formatCode="0.0"/>
    </dxf>
    <dxf>
      <font>
        <b/>
      </font>
    </dxf>
    <dxf>
      <numFmt numFmtId="164" formatCode="0.0"/>
    </dxf>
    <dxf>
      <font>
        <b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0.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-409]mmm\-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Categories contributed to May 2023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1'!$A$3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781178474426271E-2"/>
                  <c:y val="-1.00591715976331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11-422D-B607-1ACEC6BE2C99}"/>
                </c:ext>
              </c:extLst>
            </c:dLbl>
            <c:dLbl>
              <c:idx val="1"/>
              <c:layout>
                <c:manualLayout>
                  <c:x val="-3.7109327316284177E-2"/>
                  <c:y val="-1.9526573045719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11-422D-B607-1ACEC6BE2C99}"/>
                </c:ext>
              </c:extLst>
            </c:dLbl>
            <c:dLbl>
              <c:idx val="2"/>
              <c:layout>
                <c:manualLayout>
                  <c:x val="1.1718749999999045E-3"/>
                  <c:y val="-8.28400561090051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11-422D-B607-1ACEC6BE2C99}"/>
                </c:ext>
              </c:extLst>
            </c:dLbl>
            <c:dLbl>
              <c:idx val="3"/>
              <c:layout>
                <c:manualLayout>
                  <c:x val="-5.3515601158142183E-2"/>
                  <c:y val="-8.8757396449704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11-422D-B607-1ACEC6BE2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1'!$AM$3:$AP$3</c:f>
              <c:numCache>
                <c:formatCode>0.00%</c:formatCode>
                <c:ptCount val="4"/>
                <c:pt idx="0">
                  <c:v>0.2411623390361067</c:v>
                </c:pt>
                <c:pt idx="1">
                  <c:v>0.25237454015687555</c:v>
                </c:pt>
                <c:pt idx="2">
                  <c:v>0.25999322204519776</c:v>
                </c:pt>
                <c:pt idx="3">
                  <c:v>0.24646989876182007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11-422D-B607-1ACEC6BE2C99}"/>
            </c:ext>
          </c:extLst>
        </c:ser>
        <c:ser>
          <c:idx val="1"/>
          <c:order val="1"/>
          <c:tx>
            <c:strRef>
              <c:f>'Analysis 1'!$A$4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719465255737066E-3"/>
                  <c:y val="-8.8757396449703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11-422D-B607-1ACEC6BE2C99}"/>
                </c:ext>
              </c:extLst>
            </c:dLbl>
            <c:dLbl>
              <c:idx val="1"/>
              <c:layout>
                <c:manualLayout>
                  <c:x val="9.3750715255736822E-3"/>
                  <c:y val="-2.2485170985114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11-422D-B607-1ACEC6BE2C99}"/>
                </c:ext>
              </c:extLst>
            </c:dLbl>
            <c:dLbl>
              <c:idx val="2"/>
              <c:layout>
                <c:manualLayout>
                  <c:x val="6.6406965255737301E-3"/>
                  <c:y val="-2.60355029585799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11-422D-B607-1ACEC6BE2C99}"/>
                </c:ext>
              </c:extLst>
            </c:dLbl>
            <c:dLbl>
              <c:idx val="3"/>
              <c:layout>
                <c:manualLayout>
                  <c:x val="-3.9060115814218535E-4"/>
                  <c:y val="-2.48520890636556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11-422D-B607-1ACEC6BE2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1'!$AM$4:$AP$4</c:f>
              <c:numCache>
                <c:formatCode>0.00%</c:formatCode>
                <c:ptCount val="4"/>
                <c:pt idx="0">
                  <c:v>0.25173604961505824</c:v>
                </c:pt>
                <c:pt idx="1">
                  <c:v>0.25460007587436478</c:v>
                </c:pt>
                <c:pt idx="2">
                  <c:v>0.24698543140325993</c:v>
                </c:pt>
                <c:pt idx="3">
                  <c:v>0.24667844310731704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11-422D-B607-1ACEC6BE2C99}"/>
            </c:ext>
          </c:extLst>
        </c:ser>
        <c:ser>
          <c:idx val="2"/>
          <c:order val="2"/>
          <c:tx>
            <c:strRef>
              <c:f>'Analysis 1'!$A$5</c:f>
              <c:strCache>
                <c:ptCount val="1"/>
                <c:pt idx="0">
                  <c:v>Rural+Urban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000023841857909E-2"/>
                  <c:y val="-6.24887538679391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11-422D-B607-1ACEC6BE2C99}"/>
                </c:ext>
              </c:extLst>
            </c:dLbl>
            <c:dLbl>
              <c:idx val="1"/>
              <c:layout>
                <c:manualLayout>
                  <c:x val="3.5546851158142087E-2"/>
                  <c:y val="-6.50639084315643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11-422D-B607-1ACEC6BE2C99}"/>
                </c:ext>
              </c:extLst>
            </c:dLbl>
            <c:dLbl>
              <c:idx val="2"/>
              <c:layout>
                <c:manualLayout>
                  <c:x val="2.3437738418579102E-3"/>
                  <c:y val="-1.2281564779085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11-422D-B607-1ACEC6BE2C99}"/>
                </c:ext>
              </c:extLst>
            </c:dLbl>
            <c:dLbl>
              <c:idx val="3"/>
              <c:layout>
                <c:manualLayout>
                  <c:x val="4.5703101158141898E-2"/>
                  <c:y val="-1.05148033757403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11-422D-B607-1ACEC6BE2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1'!$AM$5:$AP$5</c:f>
              <c:numCache>
                <c:formatCode>0.00%</c:formatCode>
                <c:ptCount val="4"/>
                <c:pt idx="0">
                  <c:v>0.24559579345678129</c:v>
                </c:pt>
                <c:pt idx="1">
                  <c:v>0.25276419409230511</c:v>
                </c:pt>
                <c:pt idx="2">
                  <c:v>0.2552092574773922</c:v>
                </c:pt>
                <c:pt idx="3">
                  <c:v>0.24643075497352154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11-422D-B607-1ACEC6BE2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380168"/>
        <c:axId val="836403208"/>
      </c:barChart>
      <c:catAx>
        <c:axId val="83638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3208"/>
        <c:crosses val="autoZero"/>
        <c:auto val="1"/>
        <c:lblAlgn val="ctr"/>
        <c:lblOffset val="100"/>
        <c:noMultiLvlLbl val="0"/>
      </c:catAx>
      <c:valAx>
        <c:axId val="83640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8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with Highest 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'Analysis 2'!$AP$46</c:f>
              <c:strCache>
                <c:ptCount val="1"/>
                <c:pt idx="0">
                  <c:v>General_index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cat>
            <c:numRef>
              <c:f>'Analysis 2'!$AO$48:$AO$54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2'!$AP$48:$AP$54</c:f>
              <c:numCache>
                <c:formatCode>0.0</c:formatCode>
                <c:ptCount val="7"/>
                <c:pt idx="0">
                  <c:v>133.49999999999997</c:v>
                </c:pt>
                <c:pt idx="1">
                  <c:v>138.77500000000001</c:v>
                </c:pt>
                <c:pt idx="2">
                  <c:v>144.18181818181822</c:v>
                </c:pt>
                <c:pt idx="3">
                  <c:v>153.38</c:v>
                </c:pt>
                <c:pt idx="4">
                  <c:v>161.45833333333331</c:v>
                </c:pt>
                <c:pt idx="5">
                  <c:v>172.14999999999998</c:v>
                </c:pt>
                <c:pt idx="6">
                  <c:v>177.61999999999998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1-44D2-864B-AC2FA188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907579399"/>
        <c:axId val="1907581447"/>
      </c:barChart>
      <c:lineChart>
        <c:grouping val="standard"/>
        <c:varyColors val="0"/>
        <c:ser>
          <c:idx val="2"/>
          <c:order val="1"/>
          <c:tx>
            <c:strRef>
              <c:f>'Analysis 2'!$AQ$46</c:f>
              <c:strCache>
                <c:ptCount val="1"/>
                <c:pt idx="0">
                  <c:v>% diff from Prev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19050">
                <a:solidFill>
                  <a:srgbClr val="7D5F02"/>
                </a:solidFill>
                <a:prstDash val="solid"/>
              </a:ln>
              <a:effectLst/>
            </c:spPr>
          </c:marker>
          <c:dPt>
            <c:idx val="5"/>
            <c:marker>
              <c:symbol val="circle"/>
              <c:size val="10"/>
              <c:spPr>
                <a:solidFill>
                  <a:srgbClr val="FF0000"/>
                </a:solidFill>
                <a:ln w="19050">
                  <a:solidFill>
                    <a:srgbClr val="7D5F0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DB1-44D2-864B-AC2FA1887EFA}"/>
              </c:ext>
            </c:extLst>
          </c:dPt>
          <c:cat>
            <c:numRef>
              <c:f>'Analysis 2'!$AO$48:$AO$54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2'!$AQ$48:$AQ$54</c:f>
              <c:numCache>
                <c:formatCode>0.00%</c:formatCode>
                <c:ptCount val="7"/>
                <c:pt idx="0">
                  <c:v>3.3281733746129902E-2</c:v>
                </c:pt>
                <c:pt idx="1">
                  <c:v>3.9513108614232476E-2</c:v>
                </c:pt>
                <c:pt idx="2">
                  <c:v>3.8961038961039161E-2</c:v>
                </c:pt>
                <c:pt idx="3">
                  <c:v>6.3795712484236794E-2</c:v>
                </c:pt>
                <c:pt idx="4">
                  <c:v>5.2668752988220886E-2</c:v>
                </c:pt>
                <c:pt idx="5">
                  <c:v>6.6219354838709665E-2</c:v>
                </c:pt>
                <c:pt idx="6">
                  <c:v>3.1774615161196632E-2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1-44D2-864B-AC2FA188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508872"/>
        <c:axId val="1361497608"/>
      </c:lineChart>
      <c:catAx>
        <c:axId val="190757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81447"/>
        <c:crosses val="autoZero"/>
        <c:auto val="1"/>
        <c:lblAlgn val="ctr"/>
        <c:lblOffset val="100"/>
        <c:noMultiLvlLbl val="0"/>
      </c:catAx>
      <c:valAx>
        <c:axId val="190758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79399"/>
        <c:crosses val="autoZero"/>
        <c:crossBetween val="between"/>
      </c:valAx>
      <c:valAx>
        <c:axId val="1361497608"/>
        <c:scaling>
          <c:orientation val="minMax"/>
          <c:max val="0.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08872"/>
        <c:crosses val="max"/>
        <c:crossBetween val="between"/>
      </c:valAx>
      <c:catAx>
        <c:axId val="1361508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1497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75826129105487"/>
          <c:y val="0.92298085402484786"/>
          <c:w val="0.59779054088827133"/>
          <c:h val="5.7945604210917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Categories Contributed to 2022 Inflation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285F4"/>
            </a:solidFill>
            <a:ln>
              <a:solidFill>
                <a:srgbClr val="0070B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CD-4EFA-BA44-BC45941E6E02}"/>
              </c:ext>
            </c:extLst>
          </c:dPt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CD-4EFA-BA44-BC45941E6E02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CD-4EFA-BA44-BC45941E6E02}"/>
              </c:ext>
            </c:extLst>
          </c:dPt>
          <c:dPt>
            <c:idx val="3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CD-4EFA-BA44-BC45941E6E02}"/>
              </c:ext>
            </c:extLst>
          </c:dPt>
          <c:dPt>
            <c:idx val="4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CD-4EFA-BA44-BC45941E6E02}"/>
              </c:ext>
            </c:extLst>
          </c:dPt>
          <c:dPt>
            <c:idx val="5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3CD-4EFA-BA44-BC45941E6E02}"/>
              </c:ext>
            </c:extLst>
          </c:dPt>
          <c:dPt>
            <c:idx val="6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3CD-4EFA-BA44-BC45941E6E02}"/>
              </c:ext>
            </c:extLst>
          </c:dPt>
          <c:dPt>
            <c:idx val="7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3CD-4EFA-BA44-BC45941E6E02}"/>
              </c:ext>
            </c:extLst>
          </c:dPt>
          <c:dPt>
            <c:idx val="8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C3CD-4EFA-BA44-BC45941E6E02}"/>
              </c:ext>
            </c:extLst>
          </c:dPt>
          <c:dPt>
            <c:idx val="9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CD-4EFA-BA44-BC45941E6E02}"/>
              </c:ext>
            </c:extLst>
          </c:dPt>
          <c:dPt>
            <c:idx val="10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C3CD-4EFA-BA44-BC45941E6E02}"/>
              </c:ext>
            </c:extLst>
          </c:dPt>
          <c:dPt>
            <c:idx val="11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C3CD-4EFA-BA44-BC45941E6E02}"/>
              </c:ext>
            </c:extLst>
          </c:dPt>
          <c:dPt>
            <c:idx val="12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C3CD-4EFA-BA44-BC45941E6E02}"/>
              </c:ext>
            </c:extLst>
          </c:dPt>
          <c:dPt>
            <c:idx val="13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B-C3CD-4EFA-BA44-BC45941E6E02}"/>
              </c:ext>
            </c:extLst>
          </c:dPt>
          <c:dPt>
            <c:idx val="14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D-C3CD-4EFA-BA44-BC45941E6E02}"/>
              </c:ext>
            </c:extLst>
          </c:dPt>
          <c:dPt>
            <c:idx val="15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F-C3CD-4EFA-BA44-BC45941E6E02}"/>
              </c:ext>
            </c:extLst>
          </c:dPt>
          <c:dPt>
            <c:idx val="16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1-C3CD-4EFA-BA44-BC45941E6E02}"/>
              </c:ext>
            </c:extLst>
          </c:dPt>
          <c:dPt>
            <c:idx val="17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3-C3CD-4EFA-BA44-BC45941E6E02}"/>
              </c:ext>
            </c:extLst>
          </c:dPt>
          <c:dPt>
            <c:idx val="18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5-C3CD-4EFA-BA44-BC45941E6E02}"/>
              </c:ext>
            </c:extLst>
          </c:dPt>
          <c:dPt>
            <c:idx val="19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7-C3CD-4EFA-BA44-BC45941E6E02}"/>
              </c:ext>
            </c:extLst>
          </c:dPt>
          <c:dPt>
            <c:idx val="20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9-C3CD-4EFA-BA44-BC45941E6E02}"/>
              </c:ext>
            </c:extLst>
          </c:dPt>
          <c:dPt>
            <c:idx val="21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B-C3CD-4EFA-BA44-BC45941E6E02}"/>
              </c:ext>
            </c:extLst>
          </c:dPt>
          <c:dPt>
            <c:idx val="22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D-C3CD-4EFA-BA44-BC45941E6E02}"/>
              </c:ext>
            </c:extLst>
          </c:dPt>
          <c:dPt>
            <c:idx val="23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F-C3CD-4EFA-BA44-BC45941E6E02}"/>
              </c:ext>
            </c:extLst>
          </c:dPt>
          <c:dPt>
            <c:idx val="24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1-C3CD-4EFA-BA44-BC45941E6E02}"/>
              </c:ext>
            </c:extLst>
          </c:dPt>
          <c:dPt>
            <c:idx val="25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3-C3CD-4EFA-BA44-BC45941E6E02}"/>
              </c:ext>
            </c:extLst>
          </c:dPt>
          <c:dPt>
            <c:idx val="26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5-C3CD-4EFA-BA44-BC45941E6E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2'!$Y$49:$Y$75</c:f>
              <c:strCache>
                <c:ptCount val="27"/>
                <c:pt idx="0">
                  <c:v>Food - Spices</c:v>
                </c:pt>
                <c:pt idx="1">
                  <c:v>CF Footwear</c:v>
                </c:pt>
                <c:pt idx="2">
                  <c:v>HH -Fuel and light</c:v>
                </c:pt>
                <c:pt idx="3">
                  <c:v>CF Clothing and footwear</c:v>
                </c:pt>
                <c:pt idx="4">
                  <c:v>CF Clothing</c:v>
                </c:pt>
                <c:pt idx="5">
                  <c:v>Food - Oils and fats</c:v>
                </c:pt>
                <c:pt idx="6">
                  <c:v>Food - Cereals and products</c:v>
                </c:pt>
                <c:pt idx="7">
                  <c:v>HH - Household goods and services</c:v>
                </c:pt>
                <c:pt idx="8">
                  <c:v>Food - Prepared meals, snacks, sweets etc.</c:v>
                </c:pt>
                <c:pt idx="9">
                  <c:v>Misc - Transport and communication</c:v>
                </c:pt>
                <c:pt idx="10">
                  <c:v>Misc - Personal care and effects</c:v>
                </c:pt>
                <c:pt idx="11">
                  <c:v>Food - Food and beverages</c:v>
                </c:pt>
                <c:pt idx="12">
                  <c:v>Misc - General index</c:v>
                </c:pt>
                <c:pt idx="13">
                  <c:v>Misc - Recreation and amusement</c:v>
                </c:pt>
                <c:pt idx="14">
                  <c:v>Misc - Miscellaneous</c:v>
                </c:pt>
                <c:pt idx="15">
                  <c:v>Food - Vegetables</c:v>
                </c:pt>
                <c:pt idx="16">
                  <c:v>Food - Milk and products</c:v>
                </c:pt>
                <c:pt idx="17">
                  <c:v>Misc - Health</c:v>
                </c:pt>
                <c:pt idx="18">
                  <c:v>Food - Meat and fish</c:v>
                </c:pt>
                <c:pt idx="19">
                  <c:v>Food - Non-alcoholic beverages</c:v>
                </c:pt>
                <c:pt idx="20">
                  <c:v>Misc - Education</c:v>
                </c:pt>
                <c:pt idx="21">
                  <c:v>Food - Fruits</c:v>
                </c:pt>
                <c:pt idx="22">
                  <c:v>HH - Housing</c:v>
                </c:pt>
                <c:pt idx="23">
                  <c:v>Food - Sugar and Confectionery</c:v>
                </c:pt>
                <c:pt idx="24">
                  <c:v>Misc - Pan, tobacco and intoxicants</c:v>
                </c:pt>
                <c:pt idx="25">
                  <c:v>Food - Pulses and products</c:v>
                </c:pt>
                <c:pt idx="26">
                  <c:v>Food - Egg</c:v>
                </c:pt>
              </c:strCache>
            </c:strRef>
          </c:cat>
          <c:val>
            <c:numRef>
              <c:f>'Analysis 2'!$Z$49:$Z$75</c:f>
              <c:numCache>
                <c:formatCode>0.00%</c:formatCode>
                <c:ptCount val="27"/>
                <c:pt idx="0">
                  <c:v>0.1286610878661088</c:v>
                </c:pt>
                <c:pt idx="1">
                  <c:v>0.11443248264932521</c:v>
                </c:pt>
                <c:pt idx="2">
                  <c:v>0.10106355110808396</c:v>
                </c:pt>
                <c:pt idx="3">
                  <c:v>9.5657581096486269E-2</c:v>
                </c:pt>
                <c:pt idx="4">
                  <c:v>9.2725778280078025E-2</c:v>
                </c:pt>
                <c:pt idx="5">
                  <c:v>8.2254736447195359E-2</c:v>
                </c:pt>
                <c:pt idx="6">
                  <c:v>8.0022798518096447E-2</c:v>
                </c:pt>
                <c:pt idx="7">
                  <c:v>7.4378389989796401E-2</c:v>
                </c:pt>
                <c:pt idx="8">
                  <c:v>7.2437733650531647E-2</c:v>
                </c:pt>
                <c:pt idx="9">
                  <c:v>6.9961808822715438E-2</c:v>
                </c:pt>
                <c:pt idx="10">
                  <c:v>6.803506745760958E-2</c:v>
                </c:pt>
                <c:pt idx="11">
                  <c:v>6.624008190427455E-2</c:v>
                </c:pt>
                <c:pt idx="12">
                  <c:v>6.6219354838709665E-2</c:v>
                </c:pt>
                <c:pt idx="13">
                  <c:v>6.4856469580119799E-2</c:v>
                </c:pt>
                <c:pt idx="14">
                  <c:v>6.4558769100618502E-2</c:v>
                </c:pt>
                <c:pt idx="15">
                  <c:v>6.2108715094902227E-2</c:v>
                </c:pt>
                <c:pt idx="16">
                  <c:v>6.1371841155234787E-2</c:v>
                </c:pt>
                <c:pt idx="17">
                  <c:v>6.0800964775639302E-2</c:v>
                </c:pt>
                <c:pt idx="18">
                  <c:v>5.3199949771880493E-2</c:v>
                </c:pt>
                <c:pt idx="19">
                  <c:v>4.9684583702622361E-2</c:v>
                </c:pt>
                <c:pt idx="20">
                  <c:v>4.754806209519899E-2</c:v>
                </c:pt>
                <c:pt idx="21">
                  <c:v>4.1697455927372597E-2</c:v>
                </c:pt>
                <c:pt idx="22">
                  <c:v>4.0664671276705339E-2</c:v>
                </c:pt>
                <c:pt idx="23">
                  <c:v>3.0238197118813526E-2</c:v>
                </c:pt>
                <c:pt idx="24">
                  <c:v>2.1505376344085992E-2</c:v>
                </c:pt>
                <c:pt idx="25">
                  <c:v>1.9242547978766924E-2</c:v>
                </c:pt>
                <c:pt idx="26">
                  <c:v>1.6398977475525296E-3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3CD-4EFA-BA44-BC45941E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798794248"/>
        <c:axId val="798796296"/>
      </c:barChart>
      <c:catAx>
        <c:axId val="79879424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96296"/>
        <c:crosses val="autoZero"/>
        <c:auto val="1"/>
        <c:lblAlgn val="ctr"/>
        <c:lblOffset val="100"/>
        <c:noMultiLvlLbl val="0"/>
      </c:catAx>
      <c:valAx>
        <c:axId val="79879629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798794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Trend in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'Analysis 3'!$C$44</c:f>
              <c:strCache>
                <c:ptCount val="1"/>
                <c:pt idx="0">
                  <c:v>% Change in F&amp;B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3'!$A$45:$A$57</c:f>
              <c:numCache>
                <c:formatCode>[$-409]mmm\-yy;@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'Analysis 3'!$C$46:$C$57</c:f>
              <c:numCache>
                <c:formatCode>0.00%</c:formatCode>
                <c:ptCount val="12"/>
                <c:pt idx="0">
                  <c:v>1.0374708304225631E-2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4947-AF76-B5910FF9D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517320"/>
        <c:axId val="1877519368"/>
      </c:lineChart>
      <c:lineChart>
        <c:grouping val="standard"/>
        <c:varyColors val="0"/>
        <c:ser>
          <c:idx val="2"/>
          <c:order val="1"/>
          <c:tx>
            <c:strRef>
              <c:f>'Analysis 3'!$D$44</c:f>
              <c:strCache>
                <c:ptCount val="1"/>
                <c:pt idx="0">
                  <c:v>Absolute change in F&amp;B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'Analysis 3'!$A$45:$A$57</c:f>
              <c:numCache>
                <c:formatCode>[$-409]mmm\-yy;@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'Analysis 3'!$D$46:$D$57</c:f>
              <c:numCache>
                <c:formatCode>0.0</c:formatCode>
                <c:ptCount val="12"/>
                <c:pt idx="0">
                  <c:v>1.7897435897435798</c:v>
                </c:pt>
                <c:pt idx="1">
                  <c:v>0.32564102564103337</c:v>
                </c:pt>
                <c:pt idx="2">
                  <c:v>0.21282051282051384</c:v>
                </c:pt>
                <c:pt idx="3">
                  <c:v>0.93333333333336554</c:v>
                </c:pt>
                <c:pt idx="4">
                  <c:v>1.2564102564102484</c:v>
                </c:pt>
                <c:pt idx="5">
                  <c:v>-0.13333333333332575</c:v>
                </c:pt>
                <c:pt idx="6">
                  <c:v>-1.0923076923077133</c:v>
                </c:pt>
                <c:pt idx="7">
                  <c:v>0.76410256410258626</c:v>
                </c:pt>
                <c:pt idx="8">
                  <c:v>-0.97692307692312852</c:v>
                </c:pt>
                <c:pt idx="9">
                  <c:v>1.0256410256431536E-2</c:v>
                </c:pt>
                <c:pt idx="10">
                  <c:v>0.84871794871793327</c:v>
                </c:pt>
                <c:pt idx="11">
                  <c:v>1.312820512820565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A-4947-AF76-B5910FF9D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759240"/>
        <c:axId val="1457747976"/>
      </c:lineChart>
      <c:dateAx>
        <c:axId val="187751732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9368"/>
        <c:crosses val="autoZero"/>
        <c:auto val="1"/>
        <c:lblOffset val="100"/>
        <c:baseTimeUnit val="months"/>
      </c:dateAx>
      <c:valAx>
        <c:axId val="1877519368"/>
        <c:scaling>
          <c:orientation val="minMax"/>
          <c:max val="0.02"/>
          <c:min val="-1.499999999999999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7320"/>
        <c:crosses val="autoZero"/>
        <c:crossBetween val="between"/>
      </c:valAx>
      <c:valAx>
        <c:axId val="145774797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759240"/>
        <c:crosses val="max"/>
        <c:crossBetween val="between"/>
      </c:valAx>
      <c:dateAx>
        <c:axId val="1457759240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4577479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960372646713149"/>
          <c:y val="0.9476554125616945"/>
          <c:w val="0.46313711372244942"/>
          <c:h val="4.048215503311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Category contributing to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03-48AB-9224-47EA5AF384BB}"/>
              </c:ext>
            </c:extLst>
          </c:dPt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03-48AB-9224-47EA5AF384BB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4285F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1D-4591-AAD1-2EAE06191A7A}"/>
              </c:ext>
            </c:extLst>
          </c:dPt>
          <c:dPt>
            <c:idx val="4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1D-4591-AAD1-2EAE06191A7A}"/>
              </c:ext>
            </c:extLst>
          </c:dPt>
          <c:dPt>
            <c:idx val="5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41D-4591-AAD1-2EAE06191A7A}"/>
              </c:ext>
            </c:extLst>
          </c:dPt>
          <c:dPt>
            <c:idx val="6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1D-4591-AAD1-2EAE06191A7A}"/>
              </c:ext>
            </c:extLst>
          </c:dPt>
          <c:dPt>
            <c:idx val="7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41D-4591-AAD1-2EAE06191A7A}"/>
              </c:ext>
            </c:extLst>
          </c:dPt>
          <c:dPt>
            <c:idx val="8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1D-4591-AAD1-2EAE06191A7A}"/>
              </c:ext>
            </c:extLst>
          </c:dPt>
          <c:dPt>
            <c:idx val="9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41D-4591-AAD1-2EAE06191A7A}"/>
              </c:ext>
            </c:extLst>
          </c:dPt>
          <c:dPt>
            <c:idx val="1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1D-4591-AAD1-2EAE06191A7A}"/>
              </c:ext>
            </c:extLst>
          </c:dPt>
          <c:dPt>
            <c:idx val="1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41D-4591-AAD1-2EAE06191A7A}"/>
              </c:ext>
            </c:extLst>
          </c:dPt>
          <c:dPt>
            <c:idx val="1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03-48AB-9224-47EA5AF384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3'!$J$45:$J$57</c:f>
              <c:strCache>
                <c:ptCount val="13"/>
                <c:pt idx="0">
                  <c:v>Oils and fats</c:v>
                </c:pt>
                <c:pt idx="1">
                  <c:v>Vegetables</c:v>
                </c:pt>
                <c:pt idx="2">
                  <c:v>Meat and fish</c:v>
                </c:pt>
                <c:pt idx="3">
                  <c:v>Fruits</c:v>
                </c:pt>
                <c:pt idx="4">
                  <c:v>Sugar and Confectionery</c:v>
                </c:pt>
                <c:pt idx="5">
                  <c:v>Food and beverages</c:v>
                </c:pt>
                <c:pt idx="6">
                  <c:v>Non-alcoholic beverages</c:v>
                </c:pt>
                <c:pt idx="7">
                  <c:v>Prepared meals, snacks, sweets etc.</c:v>
                </c:pt>
                <c:pt idx="8">
                  <c:v>Egg</c:v>
                </c:pt>
                <c:pt idx="9">
                  <c:v>Pulses and products</c:v>
                </c:pt>
                <c:pt idx="10">
                  <c:v>Milk and products</c:v>
                </c:pt>
                <c:pt idx="11">
                  <c:v>Cereals and products</c:v>
                </c:pt>
                <c:pt idx="12">
                  <c:v>Spices</c:v>
                </c:pt>
              </c:strCache>
            </c:strRef>
          </c:cat>
          <c:val>
            <c:numRef>
              <c:f>'Analysis 3'!$K$45:$K$57</c:f>
              <c:numCache>
                <c:formatCode>0.0%</c:formatCode>
                <c:ptCount val="13"/>
                <c:pt idx="0">
                  <c:v>-0.15636424061149887</c:v>
                </c:pt>
                <c:pt idx="1">
                  <c:v>-8.1337047353760419E-2</c:v>
                </c:pt>
                <c:pt idx="2">
                  <c:v>-1.1793536529330531E-2</c:v>
                </c:pt>
                <c:pt idx="3">
                  <c:v>6.815968841285408E-3</c:v>
                </c:pt>
                <c:pt idx="4">
                  <c:v>2.5013896609227346E-2</c:v>
                </c:pt>
                <c:pt idx="5">
                  <c:v>3.335889570552137E-2</c:v>
                </c:pt>
                <c:pt idx="6">
                  <c:v>3.8492381716118546E-2</c:v>
                </c:pt>
                <c:pt idx="7">
                  <c:v>6.425702811244989E-2</c:v>
                </c:pt>
                <c:pt idx="8">
                  <c:v>6.7636810821889728E-2</c:v>
                </c:pt>
                <c:pt idx="9">
                  <c:v>6.8043742405832261E-2</c:v>
                </c:pt>
                <c:pt idx="10">
                  <c:v>8.8098605778945224E-2</c:v>
                </c:pt>
                <c:pt idx="11">
                  <c:v>0.1248652145783913</c:v>
                </c:pt>
                <c:pt idx="12">
                  <c:v>0.17724724181588003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03-48AB-9224-47EA5AF38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280869383"/>
        <c:axId val="1280871431"/>
      </c:barChart>
      <c:catAx>
        <c:axId val="128086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71431"/>
        <c:crosses val="autoZero"/>
        <c:auto val="1"/>
        <c:lblAlgn val="ctr"/>
        <c:lblOffset val="100"/>
        <c:noMultiLvlLbl val="0"/>
      </c:catAx>
      <c:valAx>
        <c:axId val="128087143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of Inflation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crossAx val="1280869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Prices of Food, Essentials and Health Y-o-Y</a:t>
            </a:r>
          </a:p>
        </c:rich>
      </c:tx>
      <c:layout>
        <c:manualLayout>
          <c:xMode val="edge"/>
          <c:yMode val="edge"/>
          <c:x val="0.11552109485613883"/>
          <c:y val="2.686570200754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'Analysis 4'!$O$18</c:f>
              <c:strCache>
                <c:ptCount val="1"/>
                <c:pt idx="0">
                  <c:v>F&amp;B</c:v>
                </c:pt>
              </c:strCache>
            </c:strRef>
          </c:tx>
          <c:spPr>
            <a:ln w="28575" cap="rnd">
              <a:solidFill>
                <a:srgbClr val="4285F4"/>
              </a:solidFill>
              <a:prstDash val="solid"/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'Analysis 4'!$N$19:$N$27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Pre-Covid</c:v>
                </c:pt>
                <c:pt idx="7">
                  <c:v>Post-Covid</c:v>
                </c:pt>
                <c:pt idx="8">
                  <c:v>2022</c:v>
                </c:pt>
              </c:strCache>
            </c:strRef>
          </c:cat>
          <c:val>
            <c:numRef>
              <c:f>'Analysis 4'!$O$19:$O$27</c:f>
              <c:numCache>
                <c:formatCode>0.0%</c:formatCode>
                <c:ptCount val="9"/>
                <c:pt idx="0">
                  <c:v>9.6884553792400893E-2</c:v>
                </c:pt>
                <c:pt idx="1">
                  <c:v>5.8743016133013359E-2</c:v>
                </c:pt>
                <c:pt idx="2">
                  <c:v>7.5313541158245401E-2</c:v>
                </c:pt>
                <c:pt idx="3">
                  <c:v>2.6833490714510615E-2</c:v>
                </c:pt>
                <c:pt idx="4">
                  <c:v>3.8298118892193742E-2</c:v>
                </c:pt>
                <c:pt idx="5">
                  <c:v>-8.7072378914974848E-3</c:v>
                </c:pt>
                <c:pt idx="6">
                  <c:v>9.1434766895554603E-2</c:v>
                </c:pt>
                <c:pt idx="7">
                  <c:v>0.15239518326448079</c:v>
                </c:pt>
                <c:pt idx="8">
                  <c:v>5.4182874890450455E-2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A-4B01-B0DE-C5CB9403FB64}"/>
            </c:ext>
          </c:extLst>
        </c:ser>
        <c:ser>
          <c:idx val="2"/>
          <c:order val="1"/>
          <c:tx>
            <c:strRef>
              <c:f>'Analysis 4'!$P$18</c:f>
              <c:strCache>
                <c:ptCount val="1"/>
                <c:pt idx="0">
                  <c:v>Ess</c:v>
                </c:pt>
              </c:strCache>
            </c:strRef>
          </c:tx>
          <c:spPr>
            <a:ln w="28575" cap="rnd">
              <a:solidFill>
                <a:srgbClr val="EA4335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'Analysis 4'!$N$19:$N$27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Pre-Covid</c:v>
                </c:pt>
                <c:pt idx="7">
                  <c:v>Post-Covid</c:v>
                </c:pt>
                <c:pt idx="8">
                  <c:v>2022</c:v>
                </c:pt>
              </c:strCache>
            </c:strRef>
          </c:cat>
          <c:val>
            <c:numRef>
              <c:f>'Analysis 4'!$P$19:$P$27</c:f>
              <c:numCache>
                <c:formatCode>0.0%</c:formatCode>
                <c:ptCount val="9"/>
                <c:pt idx="0">
                  <c:v>7.1160086098885286E-2</c:v>
                </c:pt>
                <c:pt idx="1">
                  <c:v>3.6431204572929525E-2</c:v>
                </c:pt>
                <c:pt idx="2">
                  <c:v>4.274081201798096E-2</c:v>
                </c:pt>
                <c:pt idx="3">
                  <c:v>4.2388707329799886E-2</c:v>
                </c:pt>
                <c:pt idx="4">
                  <c:v>4.773902317402829E-2</c:v>
                </c:pt>
                <c:pt idx="5">
                  <c:v>5.530741590977134E-2</c:v>
                </c:pt>
                <c:pt idx="6">
                  <c:v>4.3505083700127033E-2</c:v>
                </c:pt>
                <c:pt idx="7">
                  <c:v>0.10147708307315031</c:v>
                </c:pt>
                <c:pt idx="8">
                  <c:v>6.495573767124671E-2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A-4B01-B0DE-C5CB9403FB64}"/>
            </c:ext>
          </c:extLst>
        </c:ser>
        <c:ser>
          <c:idx val="3"/>
          <c:order val="2"/>
          <c:tx>
            <c:strRef>
              <c:f>'Analysis 4'!$Q$18</c:f>
              <c:strCache>
                <c:ptCount val="1"/>
                <c:pt idx="0">
                  <c:v>HC</c:v>
                </c:pt>
              </c:strCache>
            </c:strRef>
          </c:tx>
          <c:spPr>
            <a:ln w="28575" cap="rnd">
              <a:solidFill>
                <a:srgbClr val="FBBC0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'Analysis 4'!$N$19:$N$27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Pre-Covid</c:v>
                </c:pt>
                <c:pt idx="7">
                  <c:v>Post-Covid</c:v>
                </c:pt>
                <c:pt idx="8">
                  <c:v>2022</c:v>
                </c:pt>
              </c:strCache>
            </c:strRef>
          </c:cat>
          <c:val>
            <c:numRef>
              <c:f>'Analysis 4'!$Q$19:$Q$27</c:f>
              <c:numCache>
                <c:formatCode>0.0%</c:formatCode>
                <c:ptCount val="9"/>
                <c:pt idx="0">
                  <c:v>4.2998721227621634E-2</c:v>
                </c:pt>
                <c:pt idx="1">
                  <c:v>2.9003205617463158E-2</c:v>
                </c:pt>
                <c:pt idx="2">
                  <c:v>3.8342427370594394E-2</c:v>
                </c:pt>
                <c:pt idx="3">
                  <c:v>4.7444224795255403E-2</c:v>
                </c:pt>
                <c:pt idx="4">
                  <c:v>4.2713230355943564E-2</c:v>
                </c:pt>
                <c:pt idx="5">
                  <c:v>6.1946902654867117E-2</c:v>
                </c:pt>
                <c:pt idx="6">
                  <c:v>6.2733293196869391E-2</c:v>
                </c:pt>
                <c:pt idx="7">
                  <c:v>0.1212904676258994</c:v>
                </c:pt>
                <c:pt idx="8">
                  <c:v>6.8018377946464384E-2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8A-4B01-B0DE-C5CB9403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764935"/>
        <c:axId val="1368123399"/>
      </c:lineChart>
      <c:catAx>
        <c:axId val="132076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23399"/>
        <c:crosses val="autoZero"/>
        <c:auto val="1"/>
        <c:lblAlgn val="ctr"/>
        <c:lblOffset val="100"/>
        <c:noMultiLvlLbl val="0"/>
      </c:catAx>
      <c:valAx>
        <c:axId val="136812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6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Crude Oil and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5'!$D$111</c:f>
              <c:strCache>
                <c:ptCount val="1"/>
                <c:pt idx="0">
                  <c:v>Co-Relation wit Crude Oil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5'!$C$112:$C$138</c:f>
              <c:strCache>
                <c:ptCount val="27"/>
                <c:pt idx="0">
                  <c:v>Food - Oils and fats</c:v>
                </c:pt>
                <c:pt idx="1">
                  <c:v>Food - Meat and fish</c:v>
                </c:pt>
                <c:pt idx="2">
                  <c:v>Food - Non-alcoholic beverages</c:v>
                </c:pt>
                <c:pt idx="3">
                  <c:v>Misc - General index</c:v>
                </c:pt>
                <c:pt idx="4">
                  <c:v>Misc - Recreation and amusement</c:v>
                </c:pt>
                <c:pt idx="5">
                  <c:v>Food - Food and beverages</c:v>
                </c:pt>
                <c:pt idx="6">
                  <c:v>Misc - Pan, tobacco and intoxicants</c:v>
                </c:pt>
                <c:pt idx="7">
                  <c:v>HH -Fuel and light</c:v>
                </c:pt>
                <c:pt idx="8">
                  <c:v>CF Footwear</c:v>
                </c:pt>
                <c:pt idx="9">
                  <c:v>Food - Prepared meals, snacks, sweets etc.</c:v>
                </c:pt>
                <c:pt idx="10">
                  <c:v>CF Clothing and footwear</c:v>
                </c:pt>
                <c:pt idx="11">
                  <c:v>Misc - Miscellaneous</c:v>
                </c:pt>
                <c:pt idx="12">
                  <c:v>Misc - Health</c:v>
                </c:pt>
                <c:pt idx="13">
                  <c:v>CF Clothing</c:v>
                </c:pt>
                <c:pt idx="14">
                  <c:v>Misc - Transport and communication</c:v>
                </c:pt>
                <c:pt idx="15">
                  <c:v>Food - Vegetables</c:v>
                </c:pt>
                <c:pt idx="16">
                  <c:v>Food - Fruits</c:v>
                </c:pt>
                <c:pt idx="17">
                  <c:v>HH - Housing</c:v>
                </c:pt>
                <c:pt idx="18">
                  <c:v>Misc - Personal care and effects</c:v>
                </c:pt>
                <c:pt idx="19">
                  <c:v>HH - Household goods and services</c:v>
                </c:pt>
                <c:pt idx="20">
                  <c:v>Misc - Education</c:v>
                </c:pt>
                <c:pt idx="21">
                  <c:v>Food - Sugar and Confectionery</c:v>
                </c:pt>
                <c:pt idx="22">
                  <c:v>Food - Pulses and products</c:v>
                </c:pt>
                <c:pt idx="23">
                  <c:v>Food - Spices</c:v>
                </c:pt>
                <c:pt idx="24">
                  <c:v>Food - Milk and products</c:v>
                </c:pt>
                <c:pt idx="25">
                  <c:v>Food - Egg</c:v>
                </c:pt>
                <c:pt idx="26">
                  <c:v>Food - Cereals and products</c:v>
                </c:pt>
              </c:strCache>
            </c:strRef>
          </c:cat>
          <c:val>
            <c:numRef>
              <c:f>'Analysis 5'!$D$112:$D$138</c:f>
              <c:numCache>
                <c:formatCode>0.00</c:formatCode>
                <c:ptCount val="27"/>
                <c:pt idx="0">
                  <c:v>0.49521092132696182</c:v>
                </c:pt>
                <c:pt idx="1">
                  <c:v>0.44568018115426916</c:v>
                </c:pt>
                <c:pt idx="2">
                  <c:v>0.28081629500921551</c:v>
                </c:pt>
                <c:pt idx="3">
                  <c:v>0.23429305844482645</c:v>
                </c:pt>
                <c:pt idx="4">
                  <c:v>0.21919400826410637</c:v>
                </c:pt>
                <c:pt idx="5">
                  <c:v>0.21342461591183207</c:v>
                </c:pt>
                <c:pt idx="6">
                  <c:v>0.20631531984123422</c:v>
                </c:pt>
                <c:pt idx="7">
                  <c:v>0.19442062730956886</c:v>
                </c:pt>
                <c:pt idx="8">
                  <c:v>0.1661027232888814</c:v>
                </c:pt>
                <c:pt idx="9">
                  <c:v>0.16196462792204094</c:v>
                </c:pt>
                <c:pt idx="10">
                  <c:v>0.13987146898586433</c:v>
                </c:pt>
                <c:pt idx="11">
                  <c:v>0.13397202634750632</c:v>
                </c:pt>
                <c:pt idx="12">
                  <c:v>0.13205009744677337</c:v>
                </c:pt>
                <c:pt idx="13">
                  <c:v>0.12855493436217133</c:v>
                </c:pt>
                <c:pt idx="14">
                  <c:v>0.12408099044160607</c:v>
                </c:pt>
                <c:pt idx="15">
                  <c:v>0.12011494885461682</c:v>
                </c:pt>
                <c:pt idx="16">
                  <c:v>9.1157786511261704E-2</c:v>
                </c:pt>
                <c:pt idx="17">
                  <c:v>8.9549687985189377E-2</c:v>
                </c:pt>
                <c:pt idx="18">
                  <c:v>3.3358155631668114E-2</c:v>
                </c:pt>
                <c:pt idx="19">
                  <c:v>2.1766254353444661E-2</c:v>
                </c:pt>
                <c:pt idx="20">
                  <c:v>-4.9266888958167457E-2</c:v>
                </c:pt>
                <c:pt idx="21">
                  <c:v>-9.6307317489000899E-2</c:v>
                </c:pt>
                <c:pt idx="22">
                  <c:v>-0.15360854616105721</c:v>
                </c:pt>
                <c:pt idx="23">
                  <c:v>-0.18971443064396271</c:v>
                </c:pt>
                <c:pt idx="24">
                  <c:v>-0.20585723918586332</c:v>
                </c:pt>
                <c:pt idx="25">
                  <c:v>-0.28695164868791845</c:v>
                </c:pt>
                <c:pt idx="26">
                  <c:v>-0.31976679065673252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A-4C6F-B7F5-204962534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4100488"/>
        <c:axId val="2134111752"/>
      </c:barChart>
      <c:catAx>
        <c:axId val="21341004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1752"/>
        <c:crosses val="autoZero"/>
        <c:auto val="1"/>
        <c:lblAlgn val="ctr"/>
        <c:lblOffset val="100"/>
        <c:noMultiLvlLbl val="0"/>
      </c:catAx>
      <c:valAx>
        <c:axId val="213411175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high"/>
        <c:crossAx val="21341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32813836626458"/>
          <c:y val="0.94698181749020505"/>
          <c:w val="0.21642398267535315"/>
          <c:h val="3.8525428886606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Imact of Crude Oil Prices on Related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5'!$B$81</c:f>
              <c:strCache>
                <c:ptCount val="1"/>
                <c:pt idx="0">
                  <c:v>Food - Oils and fats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5'!$C$81:$AE$81</c:f>
              <c:numCache>
                <c:formatCode>0.00%</c:formatCode>
                <c:ptCount val="29"/>
                <c:pt idx="0">
                  <c:v>2.8584495769494758E-2</c:v>
                </c:pt>
                <c:pt idx="1">
                  <c:v>5.1800800355713737E-2</c:v>
                </c:pt>
                <c:pt idx="2">
                  <c:v>3.2551257662227807E-2</c:v>
                </c:pt>
                <c:pt idx="3">
                  <c:v>3.7256908904810621E-2</c:v>
                </c:pt>
                <c:pt idx="4">
                  <c:v>4.9733570159857771E-2</c:v>
                </c:pt>
                <c:pt idx="5">
                  <c:v>2.7072758037225111E-2</c:v>
                </c:pt>
                <c:pt idx="6">
                  <c:v>-8.9694307157239198E-3</c:v>
                </c:pt>
                <c:pt idx="7">
                  <c:v>2.3088289619504935E-2</c:v>
                </c:pt>
                <c:pt idx="8">
                  <c:v>8.3047481494854559E-3</c:v>
                </c:pt>
                <c:pt idx="9">
                  <c:v>1.3428827215756492E-2</c:v>
                </c:pt>
                <c:pt idx="10">
                  <c:v>-3.0035335689045737E-3</c:v>
                </c:pt>
                <c:pt idx="11">
                  <c:v>-1.3113592060960341E-2</c:v>
                </c:pt>
                <c:pt idx="12">
                  <c:v>-1.544262883821172E-2</c:v>
                </c:pt>
                <c:pt idx="13">
                  <c:v>1.276673354003366E-3</c:v>
                </c:pt>
                <c:pt idx="14">
                  <c:v>5.2276867030965526E-2</c:v>
                </c:pt>
                <c:pt idx="15">
                  <c:v>2.6311234204604295E-2</c:v>
                </c:pt>
                <c:pt idx="16">
                  <c:v>1.5010963062911125E-2</c:v>
                </c:pt>
                <c:pt idx="17">
                  <c:v>-6.9790628115651912E-3</c:v>
                </c:pt>
                <c:pt idx="18">
                  <c:v>-2.4765729585006852E-2</c:v>
                </c:pt>
                <c:pt idx="19">
                  <c:v>-1.681537405627995E-2</c:v>
                </c:pt>
                <c:pt idx="20">
                  <c:v>-1.9022687609075006E-2</c:v>
                </c:pt>
                <c:pt idx="21">
                  <c:v>-1.1207970112079822E-2</c:v>
                </c:pt>
                <c:pt idx="22">
                  <c:v>1.2774379273119869E-2</c:v>
                </c:pt>
                <c:pt idx="23">
                  <c:v>-2.4871202700302111E-3</c:v>
                </c:pt>
                <c:pt idx="24">
                  <c:v>-6.589492430988505E-3</c:v>
                </c:pt>
                <c:pt idx="25">
                  <c:v>-4.1054141269272107E-2</c:v>
                </c:pt>
                <c:pt idx="26">
                  <c:v>-3.7390166386222355E-4</c:v>
                </c:pt>
                <c:pt idx="27">
                  <c:v>-2.3564615672339723E-2</c:v>
                </c:pt>
                <c:pt idx="28">
                  <c:v>-2.7580923194790337E-2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6-44D5-B2A5-C9E80BB71FA1}"/>
            </c:ext>
          </c:extLst>
        </c:ser>
        <c:ser>
          <c:idx val="1"/>
          <c:order val="1"/>
          <c:tx>
            <c:strRef>
              <c:f>'Analysis 5'!$B$95</c:f>
              <c:strCache>
                <c:ptCount val="1"/>
                <c:pt idx="0">
                  <c:v>HH -Fuel and light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5'!$C$95:$AE$95</c:f>
              <c:numCache>
                <c:formatCode>0.00%</c:formatCode>
                <c:ptCount val="29"/>
                <c:pt idx="0">
                  <c:v>2.435064935064955E-2</c:v>
                </c:pt>
                <c:pt idx="1">
                  <c:v>3.2148517093049486E-2</c:v>
                </c:pt>
                <c:pt idx="2">
                  <c:v>2.2812020179864018E-2</c:v>
                </c:pt>
                <c:pt idx="3">
                  <c:v>4.2890842805058682E-4</c:v>
                </c:pt>
                <c:pt idx="4">
                  <c:v>2.1650589496248526E-2</c:v>
                </c:pt>
                <c:pt idx="5">
                  <c:v>2.9374737725557936E-3</c:v>
                </c:pt>
                <c:pt idx="6">
                  <c:v>6.0669456066943942E-3</c:v>
                </c:pt>
                <c:pt idx="7">
                  <c:v>1.1436889166146868E-2</c:v>
                </c:pt>
                <c:pt idx="8">
                  <c:v>1.4391447368420234E-3</c:v>
                </c:pt>
                <c:pt idx="9">
                  <c:v>9.854239375898315E-3</c:v>
                </c:pt>
                <c:pt idx="10">
                  <c:v>-2.2362268753812211E-3</c:v>
                </c:pt>
                <c:pt idx="11">
                  <c:v>1.222493887530493E-3</c:v>
                </c:pt>
                <c:pt idx="12">
                  <c:v>4.0700040700038389E-4</c:v>
                </c:pt>
                <c:pt idx="13">
                  <c:v>9.1537835638732419E-3</c:v>
                </c:pt>
                <c:pt idx="14">
                  <c:v>9.0707518645434387E-3</c:v>
                </c:pt>
                <c:pt idx="15">
                  <c:v>3.0763084298841344E-2</c:v>
                </c:pt>
                <c:pt idx="16">
                  <c:v>1.4341085271318006E-2</c:v>
                </c:pt>
                <c:pt idx="17">
                  <c:v>8.024455483377619E-3</c:v>
                </c:pt>
                <c:pt idx="18">
                  <c:v>2.103866565580011E-2</c:v>
                </c:pt>
                <c:pt idx="19">
                  <c:v>-4.4551698533507218E-3</c:v>
                </c:pt>
                <c:pt idx="20">
                  <c:v>3.915718814096524E-3</c:v>
                </c:pt>
                <c:pt idx="21">
                  <c:v>5.3863298662702834E-3</c:v>
                </c:pt>
                <c:pt idx="22">
                  <c:v>4.0642896730095062E-3</c:v>
                </c:pt>
                <c:pt idx="23">
                  <c:v>3.4958601655936485E-3</c:v>
                </c:pt>
                <c:pt idx="24">
                  <c:v>-1.8335166850048557E-4</c:v>
                </c:pt>
                <c:pt idx="25">
                  <c:v>2.2006235099945298E-3</c:v>
                </c:pt>
                <c:pt idx="26">
                  <c:v>-1.0978956999084463E-3</c:v>
                </c:pt>
                <c:pt idx="27">
                  <c:v>-1.0991023997069997E-3</c:v>
                </c:pt>
                <c:pt idx="28">
                  <c:v>6.2350999449845273E-3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6-44D5-B2A5-C9E80BB71FA1}"/>
            </c:ext>
          </c:extLst>
        </c:ser>
        <c:ser>
          <c:idx val="2"/>
          <c:order val="2"/>
          <c:tx>
            <c:strRef>
              <c:f>'Analysis 5'!$B$98</c:f>
              <c:strCache>
                <c:ptCount val="1"/>
                <c:pt idx="0">
                  <c:v>Misc - Transport and communication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5'!$C$98:$AE$98</c:f>
              <c:numCache>
                <c:formatCode>0.00%</c:formatCode>
                <c:ptCount val="29"/>
                <c:pt idx="0">
                  <c:v>8.7553241836250822E-3</c:v>
                </c:pt>
                <c:pt idx="1">
                  <c:v>2.2284775979357394E-2</c:v>
                </c:pt>
                <c:pt idx="2">
                  <c:v>7.8017439192289515E-3</c:v>
                </c:pt>
                <c:pt idx="3">
                  <c:v>2.7322404371583147E-3</c:v>
                </c:pt>
                <c:pt idx="4">
                  <c:v>1.5213442325159051E-2</c:v>
                </c:pt>
                <c:pt idx="5">
                  <c:v>1.1854171326325106E-2</c:v>
                </c:pt>
                <c:pt idx="6">
                  <c:v>1.6136162687887042E-2</c:v>
                </c:pt>
                <c:pt idx="7">
                  <c:v>5.2207961714160296E-3</c:v>
                </c:pt>
                <c:pt idx="8">
                  <c:v>4.3280675178530327E-4</c:v>
                </c:pt>
                <c:pt idx="9">
                  <c:v>1.1031797534068712E-2</c:v>
                </c:pt>
                <c:pt idx="10">
                  <c:v>-5.3487376979031737E-3</c:v>
                </c:pt>
                <c:pt idx="11">
                  <c:v>5.8077005807700951E-3</c:v>
                </c:pt>
                <c:pt idx="12">
                  <c:v>5.1325919589391544E-3</c:v>
                </c:pt>
                <c:pt idx="13">
                  <c:v>2.5531914893617384E-3</c:v>
                </c:pt>
                <c:pt idx="14">
                  <c:v>6.1544991511035775E-3</c:v>
                </c:pt>
                <c:pt idx="15">
                  <c:v>2.9529635098080514E-2</c:v>
                </c:pt>
                <c:pt idx="16">
                  <c:v>2.8682646998565986E-3</c:v>
                </c:pt>
                <c:pt idx="17">
                  <c:v>-1.1644535240040893E-2</c:v>
                </c:pt>
                <c:pt idx="18">
                  <c:v>3.1004547333610697E-3</c:v>
                </c:pt>
                <c:pt idx="19">
                  <c:v>1.8545229754791553E-3</c:v>
                </c:pt>
                <c:pt idx="20">
                  <c:v>2.4681201151787982E-3</c:v>
                </c:pt>
                <c:pt idx="21">
                  <c:v>3.4878949528108095E-3</c:v>
                </c:pt>
                <c:pt idx="22">
                  <c:v>6.1337149867099353E-4</c:v>
                </c:pt>
                <c:pt idx="23">
                  <c:v>2.451982018798564E-3</c:v>
                </c:pt>
                <c:pt idx="24">
                  <c:v>1.4268242967795464E-3</c:v>
                </c:pt>
                <c:pt idx="25">
                  <c:v>3.4602076124567241E-3</c:v>
                </c:pt>
                <c:pt idx="26">
                  <c:v>0</c:v>
                </c:pt>
                <c:pt idx="27">
                  <c:v>2.0283975659228055E-3</c:v>
                </c:pt>
                <c:pt idx="28">
                  <c:v>1.8218623481782068E-3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6-44D5-B2A5-C9E80BB71FA1}"/>
            </c:ext>
          </c:extLst>
        </c:ser>
        <c:ser>
          <c:idx val="3"/>
          <c:order val="3"/>
          <c:tx>
            <c:strRef>
              <c:f>'Analysis 5'!$B$104</c:f>
              <c:strCache>
                <c:ptCount val="1"/>
                <c:pt idx="0">
                  <c:v>Crude Oil (% Change)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5'!$C$104:$AE$104</c:f>
              <c:numCache>
                <c:formatCode>0.00%</c:formatCode>
                <c:ptCount val="29"/>
                <c:pt idx="0">
                  <c:v>9.9317817014446141E-2</c:v>
                </c:pt>
                <c:pt idx="1">
                  <c:v>0.11735718196751231</c:v>
                </c:pt>
                <c:pt idx="2">
                  <c:v>5.7334204508330697E-2</c:v>
                </c:pt>
                <c:pt idx="3">
                  <c:v>-2.0546887069365138E-2</c:v>
                </c:pt>
                <c:pt idx="4">
                  <c:v>5.5993690851735084E-2</c:v>
                </c:pt>
                <c:pt idx="5">
                  <c:v>7.5130694548170285E-2</c:v>
                </c:pt>
                <c:pt idx="6">
                  <c:v>2.1672686857460436E-2</c:v>
                </c:pt>
                <c:pt idx="7">
                  <c:v>-5.0856676638564163E-2</c:v>
                </c:pt>
                <c:pt idx="8">
                  <c:v>4.7707736389684792E-2</c:v>
                </c:pt>
                <c:pt idx="9">
                  <c:v>0.12279502256255989</c:v>
                </c:pt>
                <c:pt idx="10">
                  <c:v>-1.7902813299232722E-2</c:v>
                </c:pt>
                <c:pt idx="11">
                  <c:v>-9.1021825396825434E-2</c:v>
                </c:pt>
                <c:pt idx="12">
                  <c:v>0.15511596180081863</c:v>
                </c:pt>
                <c:pt idx="13">
                  <c:v>0.11101925121058216</c:v>
                </c:pt>
                <c:pt idx="14">
                  <c:v>0.19985117465717034</c:v>
                </c:pt>
                <c:pt idx="15">
                  <c:v>-8.7711526534951761E-2</c:v>
                </c:pt>
                <c:pt idx="16">
                  <c:v>6.3513644750898379E-2</c:v>
                </c:pt>
                <c:pt idx="17">
                  <c:v>5.9355310017350012E-2</c:v>
                </c:pt>
                <c:pt idx="18">
                  <c:v>-9.0681837772605897E-2</c:v>
                </c:pt>
                <c:pt idx="19">
                  <c:v>-7.6689733624040093E-2</c:v>
                </c:pt>
                <c:pt idx="20">
                  <c:v>-6.8685831622176716E-2</c:v>
                </c:pt>
                <c:pt idx="21">
                  <c:v>1.0913901444162818E-2</c:v>
                </c:pt>
                <c:pt idx="22">
                  <c:v>-4.5256270447110204E-2</c:v>
                </c:pt>
                <c:pt idx="23">
                  <c:v>-0.10793832095945177</c:v>
                </c:pt>
                <c:pt idx="24">
                  <c:v>3.6107554417413666E-2</c:v>
                </c:pt>
                <c:pt idx="25">
                  <c:v>1.6806722689075623E-2</c:v>
                </c:pt>
                <c:pt idx="26">
                  <c:v>-4.5454545454545393E-2</c:v>
                </c:pt>
                <c:pt idx="27">
                  <c:v>6.6462948815889974E-2</c:v>
                </c:pt>
                <c:pt idx="28">
                  <c:v>-0.10482330468003821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6-44D5-B2A5-C9E80BB71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3191"/>
        <c:axId val="1502844423"/>
      </c:scatterChart>
      <c:valAx>
        <c:axId val="150281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4423"/>
        <c:crosses val="autoZero"/>
        <c:crossBetween val="midCat"/>
      </c:valAx>
      <c:valAx>
        <c:axId val="150284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13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Covid on Food, Essentials and Health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4'!$V$19</c:f>
              <c:strCache>
                <c:ptCount val="1"/>
                <c:pt idx="0">
                  <c:v>F&amp;B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rgbClr val="81160E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4'!$AC$19:$AD$19</c:f>
              <c:numCache>
                <c:formatCode>0.0%</c:formatCode>
                <c:ptCount val="2"/>
                <c:pt idx="0">
                  <c:v>9.1434766895554603E-2</c:v>
                </c:pt>
                <c:pt idx="1">
                  <c:v>0.15239518326448079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8-4D58-B0DA-B426E7A59B3E}"/>
            </c:ext>
          </c:extLst>
        </c:ser>
        <c:ser>
          <c:idx val="1"/>
          <c:order val="1"/>
          <c:tx>
            <c:strRef>
              <c:f>'Analysis 4'!$V$20</c:f>
              <c:strCache>
                <c:ptCount val="1"/>
                <c:pt idx="0">
                  <c:v>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rgbClr val="277E4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4'!$AC$20:$AD$20</c:f>
              <c:numCache>
                <c:formatCode>0.0%</c:formatCode>
                <c:ptCount val="2"/>
                <c:pt idx="0">
                  <c:v>4.3505083700127033E-2</c:v>
                </c:pt>
                <c:pt idx="1">
                  <c:v>0.10147708307315031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8-4D58-B0DA-B426E7A59B3E}"/>
            </c:ext>
          </c:extLst>
        </c:ser>
        <c:ser>
          <c:idx val="2"/>
          <c:order val="2"/>
          <c:tx>
            <c:strRef>
              <c:f>'Analysis 4'!$V$21</c:f>
              <c:strCache>
                <c:ptCount val="1"/>
                <c:pt idx="0">
                  <c:v>HC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rgbClr val="8036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4'!$AC$21:$AD$21</c:f>
              <c:numCache>
                <c:formatCode>0.0%</c:formatCode>
                <c:ptCount val="2"/>
                <c:pt idx="0">
                  <c:v>6.2733293196869391E-2</c:v>
                </c:pt>
                <c:pt idx="1">
                  <c:v>0.1212904676258994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8-4D58-B0DA-B426E7A5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789895"/>
        <c:axId val="1362801159"/>
      </c:lineChart>
      <c:catAx>
        <c:axId val="1362789895"/>
        <c:scaling>
          <c:orientation val="minMax"/>
        </c:scaling>
        <c:delete val="0"/>
        <c:axPos val="b"/>
        <c:majorGridlines>
          <c:spPr>
            <a:ln w="28575" cap="flat" cmpd="sng" algn="ctr">
              <a:solidFill>
                <a:srgbClr val="BFBFBF"/>
              </a:solidFill>
              <a:prstDash val="lgDashDot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01159"/>
        <c:crosses val="autoZero"/>
        <c:auto val="1"/>
        <c:lblAlgn val="ctr"/>
        <c:lblOffset val="100"/>
        <c:noMultiLvlLbl val="0"/>
      </c:catAx>
      <c:valAx>
        <c:axId val="13628011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Categories contributed to May 2023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1'!$A$3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781178474426271E-2"/>
                  <c:y val="-1.00591715976331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38-40BA-84D7-85A676673FAA}"/>
                </c:ext>
              </c:extLst>
            </c:dLbl>
            <c:dLbl>
              <c:idx val="1"/>
              <c:layout>
                <c:manualLayout>
                  <c:x val="-3.7109327316284177E-2"/>
                  <c:y val="-1.9526573045719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38-40BA-84D7-85A676673FAA}"/>
                </c:ext>
              </c:extLst>
            </c:dLbl>
            <c:dLbl>
              <c:idx val="2"/>
              <c:layout>
                <c:manualLayout>
                  <c:x val="1.1718749999999045E-3"/>
                  <c:y val="-8.28400561090051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8-40BA-84D7-85A676673FAA}"/>
                </c:ext>
              </c:extLst>
            </c:dLbl>
            <c:dLbl>
              <c:idx val="3"/>
              <c:layout>
                <c:manualLayout>
                  <c:x val="-5.3515601158142183E-2"/>
                  <c:y val="-8.8757396449704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38-40BA-84D7-85A676673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1'!$AM$3:$AP$3</c:f>
              <c:numCache>
                <c:formatCode>0.00%</c:formatCode>
                <c:ptCount val="4"/>
                <c:pt idx="0">
                  <c:v>0.2411623390361067</c:v>
                </c:pt>
                <c:pt idx="1">
                  <c:v>0.25237454015687555</c:v>
                </c:pt>
                <c:pt idx="2">
                  <c:v>0.25999322204519776</c:v>
                </c:pt>
                <c:pt idx="3">
                  <c:v>0.24646989876182007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38-40BA-84D7-85A676673FAA}"/>
            </c:ext>
          </c:extLst>
        </c:ser>
        <c:ser>
          <c:idx val="1"/>
          <c:order val="1"/>
          <c:tx>
            <c:strRef>
              <c:f>'Analysis 1'!$A$4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719465255737066E-3"/>
                  <c:y val="-8.8757396449703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38-40BA-84D7-85A676673FAA}"/>
                </c:ext>
              </c:extLst>
            </c:dLbl>
            <c:dLbl>
              <c:idx val="1"/>
              <c:layout>
                <c:manualLayout>
                  <c:x val="9.3750715255736822E-3"/>
                  <c:y val="-2.2485170985114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38-40BA-84D7-85A676673FAA}"/>
                </c:ext>
              </c:extLst>
            </c:dLbl>
            <c:dLbl>
              <c:idx val="2"/>
              <c:layout>
                <c:manualLayout>
                  <c:x val="6.6406965255737301E-3"/>
                  <c:y val="-2.60355029585799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0BA-84D7-85A676673FAA}"/>
                </c:ext>
              </c:extLst>
            </c:dLbl>
            <c:dLbl>
              <c:idx val="3"/>
              <c:layout>
                <c:manualLayout>
                  <c:x val="-3.9060115814218535E-4"/>
                  <c:y val="-2.48520890636556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0BA-84D7-85A676673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1'!$AM$4:$AP$4</c:f>
              <c:numCache>
                <c:formatCode>0.00%</c:formatCode>
                <c:ptCount val="4"/>
                <c:pt idx="0">
                  <c:v>0.25173604961505824</c:v>
                </c:pt>
                <c:pt idx="1">
                  <c:v>0.25460007587436478</c:v>
                </c:pt>
                <c:pt idx="2">
                  <c:v>0.24698543140325993</c:v>
                </c:pt>
                <c:pt idx="3">
                  <c:v>0.24667844310731704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38-40BA-84D7-85A676673FAA}"/>
            </c:ext>
          </c:extLst>
        </c:ser>
        <c:ser>
          <c:idx val="2"/>
          <c:order val="2"/>
          <c:tx>
            <c:strRef>
              <c:f>'Analysis 1'!$A$5</c:f>
              <c:strCache>
                <c:ptCount val="1"/>
                <c:pt idx="0">
                  <c:v>Rural+Urban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000023841857909E-2"/>
                  <c:y val="-6.24887538679391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0BA-84D7-85A676673FAA}"/>
                </c:ext>
              </c:extLst>
            </c:dLbl>
            <c:dLbl>
              <c:idx val="1"/>
              <c:layout>
                <c:manualLayout>
                  <c:x val="3.5546851158142087E-2"/>
                  <c:y val="-6.50639084315643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38-40BA-84D7-85A676673FAA}"/>
                </c:ext>
              </c:extLst>
            </c:dLbl>
            <c:dLbl>
              <c:idx val="2"/>
              <c:layout>
                <c:manualLayout>
                  <c:x val="2.3437738418579102E-3"/>
                  <c:y val="-1.2281564779085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0BA-84D7-85A676673FAA}"/>
                </c:ext>
              </c:extLst>
            </c:dLbl>
            <c:dLbl>
              <c:idx val="3"/>
              <c:layout>
                <c:manualLayout>
                  <c:x val="4.5703101158141898E-2"/>
                  <c:y val="-1.05148033757403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0BA-84D7-85A676673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1'!$AM$5:$AP$5</c:f>
              <c:numCache>
                <c:formatCode>0.00%</c:formatCode>
                <c:ptCount val="4"/>
                <c:pt idx="0">
                  <c:v>0.24559579345678129</c:v>
                </c:pt>
                <c:pt idx="1">
                  <c:v>0.25276419409230511</c:v>
                </c:pt>
                <c:pt idx="2">
                  <c:v>0.2552092574773922</c:v>
                </c:pt>
                <c:pt idx="3">
                  <c:v>0.24643075497352154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A38-40BA-84D7-85A67667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380168"/>
        <c:axId val="836403208"/>
      </c:barChart>
      <c:catAx>
        <c:axId val="83638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3208"/>
        <c:crosses val="autoZero"/>
        <c:auto val="1"/>
        <c:lblAlgn val="ctr"/>
        <c:lblOffset val="100"/>
        <c:noMultiLvlLbl val="0"/>
      </c:catAx>
      <c:valAx>
        <c:axId val="83640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8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with Highest 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'Analysis 2'!$AP$46</c:f>
              <c:strCache>
                <c:ptCount val="1"/>
                <c:pt idx="0">
                  <c:v>General_index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cat>
            <c:numRef>
              <c:f>'Analysis 2'!$AO$48:$AO$54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2'!$AP$48:$AP$54</c:f>
              <c:numCache>
                <c:formatCode>0.0</c:formatCode>
                <c:ptCount val="7"/>
                <c:pt idx="0">
                  <c:v>133.49999999999997</c:v>
                </c:pt>
                <c:pt idx="1">
                  <c:v>138.77500000000001</c:v>
                </c:pt>
                <c:pt idx="2">
                  <c:v>144.18181818181822</c:v>
                </c:pt>
                <c:pt idx="3">
                  <c:v>153.38</c:v>
                </c:pt>
                <c:pt idx="4">
                  <c:v>161.45833333333331</c:v>
                </c:pt>
                <c:pt idx="5">
                  <c:v>172.14999999999998</c:v>
                </c:pt>
                <c:pt idx="6">
                  <c:v>177.61999999999998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1-47BF-95E3-AD9DC5C2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907579399"/>
        <c:axId val="1907581447"/>
      </c:barChart>
      <c:lineChart>
        <c:grouping val="standard"/>
        <c:varyColors val="0"/>
        <c:ser>
          <c:idx val="2"/>
          <c:order val="1"/>
          <c:tx>
            <c:strRef>
              <c:f>'Analysis 2'!$AQ$46</c:f>
              <c:strCache>
                <c:ptCount val="1"/>
                <c:pt idx="0">
                  <c:v>% diff from Prev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19050">
                <a:solidFill>
                  <a:srgbClr val="7D5F02"/>
                </a:solidFill>
                <a:prstDash val="solid"/>
              </a:ln>
              <a:effectLst/>
            </c:spPr>
          </c:marker>
          <c:dPt>
            <c:idx val="5"/>
            <c:marker>
              <c:symbol val="circle"/>
              <c:size val="10"/>
              <c:spPr>
                <a:solidFill>
                  <a:srgbClr val="FF0000"/>
                </a:solidFill>
                <a:ln w="19050">
                  <a:solidFill>
                    <a:srgbClr val="7D5F0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B71-47BF-95E3-AD9DC5C2F8B1}"/>
              </c:ext>
            </c:extLst>
          </c:dPt>
          <c:cat>
            <c:numRef>
              <c:f>'Analysis 2'!$AO$48:$AO$54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2'!$AQ$48:$AQ$54</c:f>
              <c:numCache>
                <c:formatCode>0.00%</c:formatCode>
                <c:ptCount val="7"/>
                <c:pt idx="0">
                  <c:v>3.3281733746129902E-2</c:v>
                </c:pt>
                <c:pt idx="1">
                  <c:v>3.9513108614232476E-2</c:v>
                </c:pt>
                <c:pt idx="2">
                  <c:v>3.8961038961039161E-2</c:v>
                </c:pt>
                <c:pt idx="3">
                  <c:v>6.3795712484236794E-2</c:v>
                </c:pt>
                <c:pt idx="4">
                  <c:v>5.2668752988220886E-2</c:v>
                </c:pt>
                <c:pt idx="5">
                  <c:v>6.6219354838709665E-2</c:v>
                </c:pt>
                <c:pt idx="6">
                  <c:v>3.1774615161196632E-2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1-47BF-95E3-AD9DC5C2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508872"/>
        <c:axId val="1361497608"/>
      </c:lineChart>
      <c:catAx>
        <c:axId val="190757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81447"/>
        <c:crosses val="autoZero"/>
        <c:auto val="1"/>
        <c:lblAlgn val="ctr"/>
        <c:lblOffset val="100"/>
        <c:noMultiLvlLbl val="0"/>
      </c:catAx>
      <c:valAx>
        <c:axId val="190758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79399"/>
        <c:crosses val="autoZero"/>
        <c:crossBetween val="between"/>
      </c:valAx>
      <c:valAx>
        <c:axId val="1361497608"/>
        <c:scaling>
          <c:orientation val="minMax"/>
          <c:max val="0.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08872"/>
        <c:crosses val="max"/>
        <c:crossBetween val="between"/>
      </c:valAx>
      <c:catAx>
        <c:axId val="1361508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1497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75826129105487"/>
          <c:y val="0.92298085402484786"/>
          <c:w val="0.59779054088827133"/>
          <c:h val="5.7945604210917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Trend in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'Analysis 3'!$C$44</c:f>
              <c:strCache>
                <c:ptCount val="1"/>
                <c:pt idx="0">
                  <c:v>% Change in F&amp;B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3'!$A$45:$A$57</c:f>
              <c:numCache>
                <c:formatCode>[$-409]mmm\-yy;@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'Analysis 3'!$C$46:$C$57</c:f>
              <c:numCache>
                <c:formatCode>0.00%</c:formatCode>
                <c:ptCount val="12"/>
                <c:pt idx="0">
                  <c:v>1.0374708304225631E-2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F-4F71-89B0-B5E2FC3FA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517320"/>
        <c:axId val="1877519368"/>
      </c:lineChart>
      <c:lineChart>
        <c:grouping val="standard"/>
        <c:varyColors val="0"/>
        <c:ser>
          <c:idx val="2"/>
          <c:order val="1"/>
          <c:tx>
            <c:strRef>
              <c:f>'Analysis 3'!$D$44</c:f>
              <c:strCache>
                <c:ptCount val="1"/>
                <c:pt idx="0">
                  <c:v>Absolute change in F&amp;B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'Analysis 3'!$A$45:$A$57</c:f>
              <c:numCache>
                <c:formatCode>[$-409]mmm\-yy;@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'Analysis 3'!$D$46:$D$57</c:f>
              <c:numCache>
                <c:formatCode>0.0</c:formatCode>
                <c:ptCount val="12"/>
                <c:pt idx="0">
                  <c:v>1.7897435897435798</c:v>
                </c:pt>
                <c:pt idx="1">
                  <c:v>0.32564102564103337</c:v>
                </c:pt>
                <c:pt idx="2">
                  <c:v>0.21282051282051384</c:v>
                </c:pt>
                <c:pt idx="3">
                  <c:v>0.93333333333336554</c:v>
                </c:pt>
                <c:pt idx="4">
                  <c:v>1.2564102564102484</c:v>
                </c:pt>
                <c:pt idx="5">
                  <c:v>-0.13333333333332575</c:v>
                </c:pt>
                <c:pt idx="6">
                  <c:v>-1.0923076923077133</c:v>
                </c:pt>
                <c:pt idx="7">
                  <c:v>0.76410256410258626</c:v>
                </c:pt>
                <c:pt idx="8">
                  <c:v>-0.97692307692312852</c:v>
                </c:pt>
                <c:pt idx="9">
                  <c:v>1.0256410256431536E-2</c:v>
                </c:pt>
                <c:pt idx="10">
                  <c:v>0.84871794871793327</c:v>
                </c:pt>
                <c:pt idx="11">
                  <c:v>1.312820512820565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F-4F71-89B0-B5E2FC3FA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759240"/>
        <c:axId val="1457747976"/>
      </c:lineChart>
      <c:dateAx>
        <c:axId val="187751732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9368"/>
        <c:crosses val="autoZero"/>
        <c:auto val="1"/>
        <c:lblOffset val="100"/>
        <c:baseTimeUnit val="months"/>
      </c:dateAx>
      <c:valAx>
        <c:axId val="1877519368"/>
        <c:scaling>
          <c:orientation val="minMax"/>
          <c:max val="0.02"/>
          <c:min val="-1.499999999999999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7320"/>
        <c:crosses val="autoZero"/>
        <c:crossBetween val="between"/>
      </c:valAx>
      <c:valAx>
        <c:axId val="145774797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759240"/>
        <c:crosses val="max"/>
        <c:crossBetween val="between"/>
      </c:valAx>
      <c:dateAx>
        <c:axId val="1457759240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4577479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Category contributing to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A4-42E5-A576-6CB55ED84262}"/>
              </c:ext>
            </c:extLst>
          </c:dPt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A4-42E5-A576-6CB55ED84262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4285F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A4-42E5-A576-6CB55ED84262}"/>
              </c:ext>
            </c:extLst>
          </c:dPt>
          <c:dPt>
            <c:idx val="4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9A4-42E5-A576-6CB55ED84262}"/>
              </c:ext>
            </c:extLst>
          </c:dPt>
          <c:dPt>
            <c:idx val="5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9A4-42E5-A576-6CB55ED84262}"/>
              </c:ext>
            </c:extLst>
          </c:dPt>
          <c:dPt>
            <c:idx val="6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9A4-42E5-A576-6CB55ED84262}"/>
              </c:ext>
            </c:extLst>
          </c:dPt>
          <c:dPt>
            <c:idx val="7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9A4-42E5-A576-6CB55ED84262}"/>
              </c:ext>
            </c:extLst>
          </c:dPt>
          <c:dPt>
            <c:idx val="8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9A4-42E5-A576-6CB55ED84262}"/>
              </c:ext>
            </c:extLst>
          </c:dPt>
          <c:dPt>
            <c:idx val="9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9A4-42E5-A576-6CB55ED84262}"/>
              </c:ext>
            </c:extLst>
          </c:dPt>
          <c:dPt>
            <c:idx val="1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9A4-42E5-A576-6CB55ED84262}"/>
              </c:ext>
            </c:extLst>
          </c:dPt>
          <c:dPt>
            <c:idx val="1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9A4-42E5-A576-6CB55ED84262}"/>
              </c:ext>
            </c:extLst>
          </c:dPt>
          <c:dPt>
            <c:idx val="1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9A4-42E5-A576-6CB55ED842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3'!$J$45:$J$57</c:f>
              <c:strCache>
                <c:ptCount val="13"/>
                <c:pt idx="0">
                  <c:v>Oils and fats</c:v>
                </c:pt>
                <c:pt idx="1">
                  <c:v>Vegetables</c:v>
                </c:pt>
                <c:pt idx="2">
                  <c:v>Meat and fish</c:v>
                </c:pt>
                <c:pt idx="3">
                  <c:v>Fruits</c:v>
                </c:pt>
                <c:pt idx="4">
                  <c:v>Sugar and Confectionery</c:v>
                </c:pt>
                <c:pt idx="5">
                  <c:v>Food and beverages</c:v>
                </c:pt>
                <c:pt idx="6">
                  <c:v>Non-alcoholic beverages</c:v>
                </c:pt>
                <c:pt idx="7">
                  <c:v>Prepared meals, snacks, sweets etc.</c:v>
                </c:pt>
                <c:pt idx="8">
                  <c:v>Egg</c:v>
                </c:pt>
                <c:pt idx="9">
                  <c:v>Pulses and products</c:v>
                </c:pt>
                <c:pt idx="10">
                  <c:v>Milk and products</c:v>
                </c:pt>
                <c:pt idx="11">
                  <c:v>Cereals and products</c:v>
                </c:pt>
                <c:pt idx="12">
                  <c:v>Spices</c:v>
                </c:pt>
              </c:strCache>
            </c:strRef>
          </c:cat>
          <c:val>
            <c:numRef>
              <c:f>'Analysis 3'!$K$45:$K$57</c:f>
              <c:numCache>
                <c:formatCode>0.0%</c:formatCode>
                <c:ptCount val="13"/>
                <c:pt idx="0">
                  <c:v>-0.15636424061149887</c:v>
                </c:pt>
                <c:pt idx="1">
                  <c:v>-8.1337047353760419E-2</c:v>
                </c:pt>
                <c:pt idx="2">
                  <c:v>-1.1793536529330531E-2</c:v>
                </c:pt>
                <c:pt idx="3">
                  <c:v>6.815968841285408E-3</c:v>
                </c:pt>
                <c:pt idx="4">
                  <c:v>2.5013896609227346E-2</c:v>
                </c:pt>
                <c:pt idx="5">
                  <c:v>3.335889570552137E-2</c:v>
                </c:pt>
                <c:pt idx="6">
                  <c:v>3.8492381716118546E-2</c:v>
                </c:pt>
                <c:pt idx="7">
                  <c:v>6.425702811244989E-2</c:v>
                </c:pt>
                <c:pt idx="8">
                  <c:v>6.7636810821889728E-2</c:v>
                </c:pt>
                <c:pt idx="9">
                  <c:v>6.8043742405832261E-2</c:v>
                </c:pt>
                <c:pt idx="10">
                  <c:v>8.8098605778945224E-2</c:v>
                </c:pt>
                <c:pt idx="11">
                  <c:v>0.1248652145783913</c:v>
                </c:pt>
                <c:pt idx="12">
                  <c:v>0.17724724181588003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9A4-42E5-A576-6CB55ED8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280869383"/>
        <c:axId val="1280871431"/>
      </c:barChart>
      <c:catAx>
        <c:axId val="128086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71431"/>
        <c:crosses val="autoZero"/>
        <c:auto val="1"/>
        <c:lblAlgn val="ctr"/>
        <c:lblOffset val="100"/>
        <c:noMultiLvlLbl val="0"/>
      </c:catAx>
      <c:valAx>
        <c:axId val="128087143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of Inflation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crossAx val="1280869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Covid on Food, Essentials and Health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4'!$V$19</c:f>
              <c:strCache>
                <c:ptCount val="1"/>
                <c:pt idx="0">
                  <c:v>F&amp;B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rgbClr val="81160E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4'!$AC$19:$AD$19</c:f>
              <c:numCache>
                <c:formatCode>0.0%</c:formatCode>
                <c:ptCount val="2"/>
                <c:pt idx="0">
                  <c:v>9.1434766895554603E-2</c:v>
                </c:pt>
                <c:pt idx="1">
                  <c:v>0.15239518326448079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6-4556-A8DE-6F1C4995B9FE}"/>
            </c:ext>
          </c:extLst>
        </c:ser>
        <c:ser>
          <c:idx val="1"/>
          <c:order val="1"/>
          <c:tx>
            <c:strRef>
              <c:f>'Analysis 4'!$V$20</c:f>
              <c:strCache>
                <c:ptCount val="1"/>
                <c:pt idx="0">
                  <c:v>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rgbClr val="277E4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4'!$AC$20:$AD$20</c:f>
              <c:numCache>
                <c:formatCode>0.0%</c:formatCode>
                <c:ptCount val="2"/>
                <c:pt idx="0">
                  <c:v>4.3505083700127033E-2</c:v>
                </c:pt>
                <c:pt idx="1">
                  <c:v>0.10147708307315031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6-4556-A8DE-6F1C4995B9FE}"/>
            </c:ext>
          </c:extLst>
        </c:ser>
        <c:ser>
          <c:idx val="2"/>
          <c:order val="2"/>
          <c:tx>
            <c:strRef>
              <c:f>'Analysis 4'!$V$21</c:f>
              <c:strCache>
                <c:ptCount val="1"/>
                <c:pt idx="0">
                  <c:v>HC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rgbClr val="8036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4'!$AC$21:$AD$21</c:f>
              <c:numCache>
                <c:formatCode>0.0%</c:formatCode>
                <c:ptCount val="2"/>
                <c:pt idx="0">
                  <c:v>6.2733293196869391E-2</c:v>
                </c:pt>
                <c:pt idx="1">
                  <c:v>0.1212904676258994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6-4556-A8DE-6F1C4995B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789895"/>
        <c:axId val="1362801159"/>
      </c:lineChart>
      <c:catAx>
        <c:axId val="1362789895"/>
        <c:scaling>
          <c:orientation val="minMax"/>
        </c:scaling>
        <c:delete val="0"/>
        <c:axPos val="b"/>
        <c:majorGridlines>
          <c:spPr>
            <a:ln w="28575" cap="flat" cmpd="sng" algn="ctr">
              <a:solidFill>
                <a:srgbClr val="BFBFBF"/>
              </a:solidFill>
              <a:prstDash val="lgDashDot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01159"/>
        <c:crosses val="autoZero"/>
        <c:auto val="1"/>
        <c:lblAlgn val="ctr"/>
        <c:lblOffset val="100"/>
        <c:noMultiLvlLbl val="0"/>
      </c:catAx>
      <c:valAx>
        <c:axId val="13628011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Imact of Crude Oil Prices on Related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5'!$B$81</c:f>
              <c:strCache>
                <c:ptCount val="1"/>
                <c:pt idx="0">
                  <c:v>Food - Oils and fats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5'!$C$81:$AE$81</c:f>
              <c:numCache>
                <c:formatCode>0.00%</c:formatCode>
                <c:ptCount val="29"/>
                <c:pt idx="0">
                  <c:v>2.8584495769494758E-2</c:v>
                </c:pt>
                <c:pt idx="1">
                  <c:v>5.1800800355713737E-2</c:v>
                </c:pt>
                <c:pt idx="2">
                  <c:v>3.2551257662227807E-2</c:v>
                </c:pt>
                <c:pt idx="3">
                  <c:v>3.7256908904810621E-2</c:v>
                </c:pt>
                <c:pt idx="4">
                  <c:v>4.9733570159857771E-2</c:v>
                </c:pt>
                <c:pt idx="5">
                  <c:v>2.7072758037225111E-2</c:v>
                </c:pt>
                <c:pt idx="6">
                  <c:v>-8.9694307157239198E-3</c:v>
                </c:pt>
                <c:pt idx="7">
                  <c:v>2.3088289619504935E-2</c:v>
                </c:pt>
                <c:pt idx="8">
                  <c:v>8.3047481494854559E-3</c:v>
                </c:pt>
                <c:pt idx="9">
                  <c:v>1.3428827215756492E-2</c:v>
                </c:pt>
                <c:pt idx="10">
                  <c:v>-3.0035335689045737E-3</c:v>
                </c:pt>
                <c:pt idx="11">
                  <c:v>-1.3113592060960341E-2</c:v>
                </c:pt>
                <c:pt idx="12">
                  <c:v>-1.544262883821172E-2</c:v>
                </c:pt>
                <c:pt idx="13">
                  <c:v>1.276673354003366E-3</c:v>
                </c:pt>
                <c:pt idx="14">
                  <c:v>5.2276867030965526E-2</c:v>
                </c:pt>
                <c:pt idx="15">
                  <c:v>2.6311234204604295E-2</c:v>
                </c:pt>
                <c:pt idx="16">
                  <c:v>1.5010963062911125E-2</c:v>
                </c:pt>
                <c:pt idx="17">
                  <c:v>-6.9790628115651912E-3</c:v>
                </c:pt>
                <c:pt idx="18">
                  <c:v>-2.4765729585006852E-2</c:v>
                </c:pt>
                <c:pt idx="19">
                  <c:v>-1.681537405627995E-2</c:v>
                </c:pt>
                <c:pt idx="20">
                  <c:v>-1.9022687609075006E-2</c:v>
                </c:pt>
                <c:pt idx="21">
                  <c:v>-1.1207970112079822E-2</c:v>
                </c:pt>
                <c:pt idx="22">
                  <c:v>1.2774379273119869E-2</c:v>
                </c:pt>
                <c:pt idx="23">
                  <c:v>-2.4871202700302111E-3</c:v>
                </c:pt>
                <c:pt idx="24">
                  <c:v>-6.589492430988505E-3</c:v>
                </c:pt>
                <c:pt idx="25">
                  <c:v>-4.1054141269272107E-2</c:v>
                </c:pt>
                <c:pt idx="26">
                  <c:v>-3.7390166386222355E-4</c:v>
                </c:pt>
                <c:pt idx="27">
                  <c:v>-2.3564615672339723E-2</c:v>
                </c:pt>
                <c:pt idx="28">
                  <c:v>-2.7580923194790337E-2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A-4682-AD40-6D66D616FE9A}"/>
            </c:ext>
          </c:extLst>
        </c:ser>
        <c:ser>
          <c:idx val="1"/>
          <c:order val="1"/>
          <c:tx>
            <c:strRef>
              <c:f>'Analysis 5'!$B$95</c:f>
              <c:strCache>
                <c:ptCount val="1"/>
                <c:pt idx="0">
                  <c:v>HH -Fuel and light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5'!$C$95:$AE$95</c:f>
              <c:numCache>
                <c:formatCode>0.00%</c:formatCode>
                <c:ptCount val="29"/>
                <c:pt idx="0">
                  <c:v>2.435064935064955E-2</c:v>
                </c:pt>
                <c:pt idx="1">
                  <c:v>3.2148517093049486E-2</c:v>
                </c:pt>
                <c:pt idx="2">
                  <c:v>2.2812020179864018E-2</c:v>
                </c:pt>
                <c:pt idx="3">
                  <c:v>4.2890842805058682E-4</c:v>
                </c:pt>
                <c:pt idx="4">
                  <c:v>2.1650589496248526E-2</c:v>
                </c:pt>
                <c:pt idx="5">
                  <c:v>2.9374737725557936E-3</c:v>
                </c:pt>
                <c:pt idx="6">
                  <c:v>6.0669456066943942E-3</c:v>
                </c:pt>
                <c:pt idx="7">
                  <c:v>1.1436889166146868E-2</c:v>
                </c:pt>
                <c:pt idx="8">
                  <c:v>1.4391447368420234E-3</c:v>
                </c:pt>
                <c:pt idx="9">
                  <c:v>9.854239375898315E-3</c:v>
                </c:pt>
                <c:pt idx="10">
                  <c:v>-2.2362268753812211E-3</c:v>
                </c:pt>
                <c:pt idx="11">
                  <c:v>1.222493887530493E-3</c:v>
                </c:pt>
                <c:pt idx="12">
                  <c:v>4.0700040700038389E-4</c:v>
                </c:pt>
                <c:pt idx="13">
                  <c:v>9.1537835638732419E-3</c:v>
                </c:pt>
                <c:pt idx="14">
                  <c:v>9.0707518645434387E-3</c:v>
                </c:pt>
                <c:pt idx="15">
                  <c:v>3.0763084298841344E-2</c:v>
                </c:pt>
                <c:pt idx="16">
                  <c:v>1.4341085271318006E-2</c:v>
                </c:pt>
                <c:pt idx="17">
                  <c:v>8.024455483377619E-3</c:v>
                </c:pt>
                <c:pt idx="18">
                  <c:v>2.103866565580011E-2</c:v>
                </c:pt>
                <c:pt idx="19">
                  <c:v>-4.4551698533507218E-3</c:v>
                </c:pt>
                <c:pt idx="20">
                  <c:v>3.915718814096524E-3</c:v>
                </c:pt>
                <c:pt idx="21">
                  <c:v>5.3863298662702834E-3</c:v>
                </c:pt>
                <c:pt idx="22">
                  <c:v>4.0642896730095062E-3</c:v>
                </c:pt>
                <c:pt idx="23">
                  <c:v>3.4958601655936485E-3</c:v>
                </c:pt>
                <c:pt idx="24">
                  <c:v>-1.8335166850048557E-4</c:v>
                </c:pt>
                <c:pt idx="25">
                  <c:v>2.2006235099945298E-3</c:v>
                </c:pt>
                <c:pt idx="26">
                  <c:v>-1.0978956999084463E-3</c:v>
                </c:pt>
                <c:pt idx="27">
                  <c:v>-1.0991023997069997E-3</c:v>
                </c:pt>
                <c:pt idx="28">
                  <c:v>6.2350999449845273E-3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EA-4682-AD40-6D66D616FE9A}"/>
            </c:ext>
          </c:extLst>
        </c:ser>
        <c:ser>
          <c:idx val="2"/>
          <c:order val="2"/>
          <c:tx>
            <c:strRef>
              <c:f>'Analysis 5'!$B$98</c:f>
              <c:strCache>
                <c:ptCount val="1"/>
                <c:pt idx="0">
                  <c:v>Misc - Transport and communication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5'!$C$98:$AE$98</c:f>
              <c:numCache>
                <c:formatCode>0.00%</c:formatCode>
                <c:ptCount val="29"/>
                <c:pt idx="0">
                  <c:v>8.7553241836250822E-3</c:v>
                </c:pt>
                <c:pt idx="1">
                  <c:v>2.2284775979357394E-2</c:v>
                </c:pt>
                <c:pt idx="2">
                  <c:v>7.8017439192289515E-3</c:v>
                </c:pt>
                <c:pt idx="3">
                  <c:v>2.7322404371583147E-3</c:v>
                </c:pt>
                <c:pt idx="4">
                  <c:v>1.5213442325159051E-2</c:v>
                </c:pt>
                <c:pt idx="5">
                  <c:v>1.1854171326325106E-2</c:v>
                </c:pt>
                <c:pt idx="6">
                  <c:v>1.6136162687887042E-2</c:v>
                </c:pt>
                <c:pt idx="7">
                  <c:v>5.2207961714160296E-3</c:v>
                </c:pt>
                <c:pt idx="8">
                  <c:v>4.3280675178530327E-4</c:v>
                </c:pt>
                <c:pt idx="9">
                  <c:v>1.1031797534068712E-2</c:v>
                </c:pt>
                <c:pt idx="10">
                  <c:v>-5.3487376979031737E-3</c:v>
                </c:pt>
                <c:pt idx="11">
                  <c:v>5.8077005807700951E-3</c:v>
                </c:pt>
                <c:pt idx="12">
                  <c:v>5.1325919589391544E-3</c:v>
                </c:pt>
                <c:pt idx="13">
                  <c:v>2.5531914893617384E-3</c:v>
                </c:pt>
                <c:pt idx="14">
                  <c:v>6.1544991511035775E-3</c:v>
                </c:pt>
                <c:pt idx="15">
                  <c:v>2.9529635098080514E-2</c:v>
                </c:pt>
                <c:pt idx="16">
                  <c:v>2.8682646998565986E-3</c:v>
                </c:pt>
                <c:pt idx="17">
                  <c:v>-1.1644535240040893E-2</c:v>
                </c:pt>
                <c:pt idx="18">
                  <c:v>3.1004547333610697E-3</c:v>
                </c:pt>
                <c:pt idx="19">
                  <c:v>1.8545229754791553E-3</c:v>
                </c:pt>
                <c:pt idx="20">
                  <c:v>2.4681201151787982E-3</c:v>
                </c:pt>
                <c:pt idx="21">
                  <c:v>3.4878949528108095E-3</c:v>
                </c:pt>
                <c:pt idx="22">
                  <c:v>6.1337149867099353E-4</c:v>
                </c:pt>
                <c:pt idx="23">
                  <c:v>2.451982018798564E-3</c:v>
                </c:pt>
                <c:pt idx="24">
                  <c:v>1.4268242967795464E-3</c:v>
                </c:pt>
                <c:pt idx="25">
                  <c:v>3.4602076124567241E-3</c:v>
                </c:pt>
                <c:pt idx="26">
                  <c:v>0</c:v>
                </c:pt>
                <c:pt idx="27">
                  <c:v>2.0283975659228055E-3</c:v>
                </c:pt>
                <c:pt idx="28">
                  <c:v>1.8218623481782068E-3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EA-4682-AD40-6D66D616FE9A}"/>
            </c:ext>
          </c:extLst>
        </c:ser>
        <c:ser>
          <c:idx val="3"/>
          <c:order val="3"/>
          <c:tx>
            <c:strRef>
              <c:f>'Analysis 5'!$B$104</c:f>
              <c:strCache>
                <c:ptCount val="1"/>
                <c:pt idx="0">
                  <c:v>Crude Oil (% Change)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5'!$C$104:$AE$104</c:f>
              <c:numCache>
                <c:formatCode>0.00%</c:formatCode>
                <c:ptCount val="29"/>
                <c:pt idx="0">
                  <c:v>9.9317817014446141E-2</c:v>
                </c:pt>
                <c:pt idx="1">
                  <c:v>0.11735718196751231</c:v>
                </c:pt>
                <c:pt idx="2">
                  <c:v>5.7334204508330697E-2</c:v>
                </c:pt>
                <c:pt idx="3">
                  <c:v>-2.0546887069365138E-2</c:v>
                </c:pt>
                <c:pt idx="4">
                  <c:v>5.5993690851735084E-2</c:v>
                </c:pt>
                <c:pt idx="5">
                  <c:v>7.5130694548170285E-2</c:v>
                </c:pt>
                <c:pt idx="6">
                  <c:v>2.1672686857460436E-2</c:v>
                </c:pt>
                <c:pt idx="7">
                  <c:v>-5.0856676638564163E-2</c:v>
                </c:pt>
                <c:pt idx="8">
                  <c:v>4.7707736389684792E-2</c:v>
                </c:pt>
                <c:pt idx="9">
                  <c:v>0.12279502256255989</c:v>
                </c:pt>
                <c:pt idx="10">
                  <c:v>-1.7902813299232722E-2</c:v>
                </c:pt>
                <c:pt idx="11">
                  <c:v>-9.1021825396825434E-2</c:v>
                </c:pt>
                <c:pt idx="12">
                  <c:v>0.15511596180081863</c:v>
                </c:pt>
                <c:pt idx="13">
                  <c:v>0.11101925121058216</c:v>
                </c:pt>
                <c:pt idx="14">
                  <c:v>0.19985117465717034</c:v>
                </c:pt>
                <c:pt idx="15">
                  <c:v>-8.7711526534951761E-2</c:v>
                </c:pt>
                <c:pt idx="16">
                  <c:v>6.3513644750898379E-2</c:v>
                </c:pt>
                <c:pt idx="17">
                  <c:v>5.9355310017350012E-2</c:v>
                </c:pt>
                <c:pt idx="18">
                  <c:v>-9.0681837772605897E-2</c:v>
                </c:pt>
                <c:pt idx="19">
                  <c:v>-7.6689733624040093E-2</c:v>
                </c:pt>
                <c:pt idx="20">
                  <c:v>-6.8685831622176716E-2</c:v>
                </c:pt>
                <c:pt idx="21">
                  <c:v>1.0913901444162818E-2</c:v>
                </c:pt>
                <c:pt idx="22">
                  <c:v>-4.5256270447110204E-2</c:v>
                </c:pt>
                <c:pt idx="23">
                  <c:v>-0.10793832095945177</c:v>
                </c:pt>
                <c:pt idx="24">
                  <c:v>3.6107554417413666E-2</c:v>
                </c:pt>
                <c:pt idx="25">
                  <c:v>1.6806722689075623E-2</c:v>
                </c:pt>
                <c:pt idx="26">
                  <c:v>-4.5454545454545393E-2</c:v>
                </c:pt>
                <c:pt idx="27">
                  <c:v>6.6462948815889974E-2</c:v>
                </c:pt>
                <c:pt idx="28">
                  <c:v>-0.10482330468003821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EA-4682-AD40-6D66D616F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3191"/>
        <c:axId val="1502844423"/>
      </c:scatterChart>
      <c:valAx>
        <c:axId val="150281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4423"/>
        <c:crosses val="autoZero"/>
        <c:crossBetween val="midCat"/>
      </c:valAx>
      <c:valAx>
        <c:axId val="150284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13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922744039034899E-2"/>
          <c:y val="0.92867142932052438"/>
          <c:w val="0.89999993138112633"/>
          <c:h val="5.22507045341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Crude Oil and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5'!$D$111</c:f>
              <c:strCache>
                <c:ptCount val="1"/>
                <c:pt idx="0">
                  <c:v>Co-Relation wit Crude Oil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5'!$C$112:$C$138</c:f>
              <c:strCache>
                <c:ptCount val="27"/>
                <c:pt idx="0">
                  <c:v>Food - Oils and fats</c:v>
                </c:pt>
                <c:pt idx="1">
                  <c:v>Food - Meat and fish</c:v>
                </c:pt>
                <c:pt idx="2">
                  <c:v>Food - Non-alcoholic beverages</c:v>
                </c:pt>
                <c:pt idx="3">
                  <c:v>Misc - General index</c:v>
                </c:pt>
                <c:pt idx="4">
                  <c:v>Misc - Recreation and amusement</c:v>
                </c:pt>
                <c:pt idx="5">
                  <c:v>Food - Food and beverages</c:v>
                </c:pt>
                <c:pt idx="6">
                  <c:v>Misc - Pan, tobacco and intoxicants</c:v>
                </c:pt>
                <c:pt idx="7">
                  <c:v>HH -Fuel and light</c:v>
                </c:pt>
                <c:pt idx="8">
                  <c:v>CF Footwear</c:v>
                </c:pt>
                <c:pt idx="9">
                  <c:v>Food - Prepared meals, snacks, sweets etc.</c:v>
                </c:pt>
                <c:pt idx="10">
                  <c:v>CF Clothing and footwear</c:v>
                </c:pt>
                <c:pt idx="11">
                  <c:v>Misc - Miscellaneous</c:v>
                </c:pt>
                <c:pt idx="12">
                  <c:v>Misc - Health</c:v>
                </c:pt>
                <c:pt idx="13">
                  <c:v>CF Clothing</c:v>
                </c:pt>
                <c:pt idx="14">
                  <c:v>Misc - Transport and communication</c:v>
                </c:pt>
                <c:pt idx="15">
                  <c:v>Food - Vegetables</c:v>
                </c:pt>
                <c:pt idx="16">
                  <c:v>Food - Fruits</c:v>
                </c:pt>
                <c:pt idx="17">
                  <c:v>HH - Housing</c:v>
                </c:pt>
                <c:pt idx="18">
                  <c:v>Misc - Personal care and effects</c:v>
                </c:pt>
                <c:pt idx="19">
                  <c:v>HH - Household goods and services</c:v>
                </c:pt>
                <c:pt idx="20">
                  <c:v>Misc - Education</c:v>
                </c:pt>
                <c:pt idx="21">
                  <c:v>Food - Sugar and Confectionery</c:v>
                </c:pt>
                <c:pt idx="22">
                  <c:v>Food - Pulses and products</c:v>
                </c:pt>
                <c:pt idx="23">
                  <c:v>Food - Spices</c:v>
                </c:pt>
                <c:pt idx="24">
                  <c:v>Food - Milk and products</c:v>
                </c:pt>
                <c:pt idx="25">
                  <c:v>Food - Egg</c:v>
                </c:pt>
                <c:pt idx="26">
                  <c:v>Food - Cereals and products</c:v>
                </c:pt>
              </c:strCache>
            </c:strRef>
          </c:cat>
          <c:val>
            <c:numRef>
              <c:f>'Analysis 5'!$D$112:$D$138</c:f>
              <c:numCache>
                <c:formatCode>0.00</c:formatCode>
                <c:ptCount val="27"/>
                <c:pt idx="0">
                  <c:v>0.49521092132696182</c:v>
                </c:pt>
                <c:pt idx="1">
                  <c:v>0.44568018115426916</c:v>
                </c:pt>
                <c:pt idx="2">
                  <c:v>0.28081629500921551</c:v>
                </c:pt>
                <c:pt idx="3">
                  <c:v>0.23429305844482645</c:v>
                </c:pt>
                <c:pt idx="4">
                  <c:v>0.21919400826410637</c:v>
                </c:pt>
                <c:pt idx="5">
                  <c:v>0.21342461591183207</c:v>
                </c:pt>
                <c:pt idx="6">
                  <c:v>0.20631531984123422</c:v>
                </c:pt>
                <c:pt idx="7">
                  <c:v>0.19442062730956886</c:v>
                </c:pt>
                <c:pt idx="8">
                  <c:v>0.1661027232888814</c:v>
                </c:pt>
                <c:pt idx="9">
                  <c:v>0.16196462792204094</c:v>
                </c:pt>
                <c:pt idx="10">
                  <c:v>0.13987146898586433</c:v>
                </c:pt>
                <c:pt idx="11">
                  <c:v>0.13397202634750632</c:v>
                </c:pt>
                <c:pt idx="12">
                  <c:v>0.13205009744677337</c:v>
                </c:pt>
                <c:pt idx="13">
                  <c:v>0.12855493436217133</c:v>
                </c:pt>
                <c:pt idx="14">
                  <c:v>0.12408099044160607</c:v>
                </c:pt>
                <c:pt idx="15">
                  <c:v>0.12011494885461682</c:v>
                </c:pt>
                <c:pt idx="16">
                  <c:v>9.1157786511261704E-2</c:v>
                </c:pt>
                <c:pt idx="17">
                  <c:v>8.9549687985189377E-2</c:v>
                </c:pt>
                <c:pt idx="18">
                  <c:v>3.3358155631668114E-2</c:v>
                </c:pt>
                <c:pt idx="19">
                  <c:v>2.1766254353444661E-2</c:v>
                </c:pt>
                <c:pt idx="20">
                  <c:v>-4.9266888958167457E-2</c:v>
                </c:pt>
                <c:pt idx="21">
                  <c:v>-9.6307317489000899E-2</c:v>
                </c:pt>
                <c:pt idx="22">
                  <c:v>-0.15360854616105721</c:v>
                </c:pt>
                <c:pt idx="23">
                  <c:v>-0.18971443064396271</c:v>
                </c:pt>
                <c:pt idx="24">
                  <c:v>-0.20585723918586332</c:v>
                </c:pt>
                <c:pt idx="25">
                  <c:v>-0.28695164868791845</c:v>
                </c:pt>
                <c:pt idx="26">
                  <c:v>-0.31976679065673252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E-41BB-9BAD-CE679495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4100488"/>
        <c:axId val="2134111752"/>
      </c:barChart>
      <c:catAx>
        <c:axId val="21341004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1752"/>
        <c:crosses val="autoZero"/>
        <c:auto val="1"/>
        <c:lblAlgn val="ctr"/>
        <c:lblOffset val="100"/>
        <c:noMultiLvlLbl val="0"/>
      </c:catAx>
      <c:valAx>
        <c:axId val="213411175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high"/>
        <c:crossAx val="21341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with Highest 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'Analysis 2'!$AP$46</c:f>
              <c:strCache>
                <c:ptCount val="1"/>
                <c:pt idx="0">
                  <c:v>General_index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'Analysis 2'!$AO$48:$AO$53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'Analysis 2'!$AP$48:$AP$53</c:f>
              <c:numCache>
                <c:formatCode>0.0</c:formatCode>
                <c:ptCount val="6"/>
                <c:pt idx="0">
                  <c:v>133.49999999999997</c:v>
                </c:pt>
                <c:pt idx="1">
                  <c:v>138.77500000000001</c:v>
                </c:pt>
                <c:pt idx="2">
                  <c:v>144.18181818181822</c:v>
                </c:pt>
                <c:pt idx="3">
                  <c:v>153.38</c:v>
                </c:pt>
                <c:pt idx="4">
                  <c:v>161.45833333333331</c:v>
                </c:pt>
                <c:pt idx="5">
                  <c:v>172.14999999999998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0-4DC7-9D06-83754E6FD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907579399"/>
        <c:axId val="1907581447"/>
      </c:barChart>
      <c:lineChart>
        <c:grouping val="standard"/>
        <c:varyColors val="0"/>
        <c:ser>
          <c:idx val="2"/>
          <c:order val="1"/>
          <c:tx>
            <c:strRef>
              <c:f>'Analysis 2'!$AQ$46</c:f>
              <c:strCache>
                <c:ptCount val="1"/>
                <c:pt idx="0">
                  <c:v>% diff from Prev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19050">
                <a:solidFill>
                  <a:srgbClr val="7D5F02"/>
                </a:solidFill>
                <a:prstDash val="solid"/>
              </a:ln>
              <a:effectLst/>
            </c:spPr>
          </c:marker>
          <c:dPt>
            <c:idx val="5"/>
            <c:marker>
              <c:symbol val="circle"/>
              <c:size val="10"/>
              <c:spPr>
                <a:solidFill>
                  <a:srgbClr val="FF0000"/>
                </a:solidFill>
                <a:ln w="19050">
                  <a:solidFill>
                    <a:srgbClr val="7D5F0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F90-4DC7-9D06-83754E6FD23D}"/>
              </c:ext>
            </c:extLst>
          </c:dPt>
          <c:dLbls>
            <c:dLbl>
              <c:idx val="0"/>
              <c:layout>
                <c:manualLayout>
                  <c:x val="-6.144722768972221E-2"/>
                  <c:y val="-4.0449421057540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0C-416C-A02B-B2346AC4528C}"/>
                </c:ext>
              </c:extLst>
            </c:dLbl>
            <c:dLbl>
              <c:idx val="1"/>
              <c:layout>
                <c:manualLayout>
                  <c:x val="-6.1447212700734936E-2"/>
                  <c:y val="-4.6067398585630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0C-416C-A02B-B2346AC4528C}"/>
                </c:ext>
              </c:extLst>
            </c:dLbl>
            <c:dLbl>
              <c:idx val="2"/>
              <c:layout>
                <c:manualLayout>
                  <c:x val="-6.3018915938931691E-2"/>
                  <c:y val="-5.5617926093969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0C-416C-A02B-B2346AC4528C}"/>
                </c:ext>
              </c:extLst>
            </c:dLbl>
            <c:dLbl>
              <c:idx val="3"/>
              <c:layout>
                <c:manualLayout>
                  <c:x val="-6.066134009705438E-2"/>
                  <c:y val="-4.9438219391897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0C-416C-A02B-B2346AC4528C}"/>
                </c:ext>
              </c:extLst>
            </c:dLbl>
            <c:dLbl>
              <c:idx val="4"/>
              <c:layout>
                <c:manualLayout>
                  <c:x val="-6.3018927930121579E-2"/>
                  <c:y val="-5.5617943238676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0C-416C-A02B-B2346AC4528C}"/>
                </c:ext>
              </c:extLst>
            </c:dLbl>
            <c:dLbl>
              <c:idx val="5"/>
              <c:layout>
                <c:manualLayout>
                  <c:x val="-6.0661340097054192E-2"/>
                  <c:y val="-5.449436487776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90-4DC7-9D06-83754E6FD2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'Analysis 2'!$AO$48:$AO$53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'Analysis 2'!$AQ$48:$AQ$53</c:f>
              <c:numCache>
                <c:formatCode>0.00%</c:formatCode>
                <c:ptCount val="6"/>
                <c:pt idx="0">
                  <c:v>3.3281733746129902E-2</c:v>
                </c:pt>
                <c:pt idx="1">
                  <c:v>3.9513108614232476E-2</c:v>
                </c:pt>
                <c:pt idx="2">
                  <c:v>3.8961038961039161E-2</c:v>
                </c:pt>
                <c:pt idx="3">
                  <c:v>6.3795712484236794E-2</c:v>
                </c:pt>
                <c:pt idx="4">
                  <c:v>5.2668752988220886E-2</c:v>
                </c:pt>
                <c:pt idx="5">
                  <c:v>6.6219354838709665E-2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0-4DC7-9D06-83754E6FD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18024"/>
        <c:axId val="202514952"/>
      </c:lineChart>
      <c:catAx>
        <c:axId val="190757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81447"/>
        <c:crosses val="autoZero"/>
        <c:auto val="1"/>
        <c:lblAlgn val="ctr"/>
        <c:lblOffset val="100"/>
        <c:noMultiLvlLbl val="0"/>
      </c:catAx>
      <c:valAx>
        <c:axId val="190758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79399"/>
        <c:crosses val="autoZero"/>
        <c:crossBetween val="between"/>
      </c:valAx>
      <c:valAx>
        <c:axId val="202514952"/>
        <c:scaling>
          <c:orientation val="minMax"/>
          <c:max val="0.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8024"/>
        <c:crosses val="max"/>
        <c:crossBetween val="between"/>
      </c:valAx>
      <c:catAx>
        <c:axId val="20251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514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75826129105487"/>
          <c:y val="0.92298085402484786"/>
          <c:w val="0.59779054088827133"/>
          <c:h val="5.7945604210917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that contributed to 2022 Infaltion</a:t>
            </a:r>
          </a:p>
        </c:rich>
      </c:tx>
      <c:layout>
        <c:manualLayout>
          <c:xMode val="edge"/>
          <c:yMode val="edge"/>
          <c:x val="0.13800920919701284"/>
          <c:y val="3.1857411455409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2'!$Y$83:$Y$87</c:f>
              <c:strCache>
                <c:ptCount val="5"/>
                <c:pt idx="0">
                  <c:v>Food - Spices</c:v>
                </c:pt>
                <c:pt idx="1">
                  <c:v>CF Footwear</c:v>
                </c:pt>
                <c:pt idx="2">
                  <c:v>HH -Fuel and light</c:v>
                </c:pt>
                <c:pt idx="3">
                  <c:v>CF Clothing</c:v>
                </c:pt>
                <c:pt idx="4">
                  <c:v>Food - Oils and fats</c:v>
                </c:pt>
              </c:strCache>
            </c:strRef>
          </c:cat>
          <c:val>
            <c:numRef>
              <c:f>'Analysis 2'!$Z$83:$Z$87</c:f>
              <c:numCache>
                <c:formatCode>0.00%</c:formatCode>
                <c:ptCount val="5"/>
                <c:pt idx="0">
                  <c:v>0.1286610878661088</c:v>
                </c:pt>
                <c:pt idx="1">
                  <c:v>0.11443248264932521</c:v>
                </c:pt>
                <c:pt idx="2">
                  <c:v>0.10106355110808396</c:v>
                </c:pt>
                <c:pt idx="3">
                  <c:v>9.2725778280078025E-2</c:v>
                </c:pt>
                <c:pt idx="4">
                  <c:v>8.2254736447195359E-2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{"2020"}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9E7-469C-AE44-D52BC82B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901318151"/>
        <c:axId val="1901320199"/>
      </c:barChart>
      <c:catAx>
        <c:axId val="19013181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20199"/>
        <c:crosses val="autoZero"/>
        <c:auto val="1"/>
        <c:lblAlgn val="ctr"/>
        <c:lblOffset val="100"/>
        <c:noMultiLvlLbl val="0"/>
      </c:catAx>
      <c:valAx>
        <c:axId val="1901320199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high"/>
        <c:crossAx val="1901318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'Analysis 3'!$C$44</c:f>
              <c:strCache>
                <c:ptCount val="1"/>
                <c:pt idx="0">
                  <c:v>% Change in F&amp;B</c:v>
                </c:pt>
              </c:strCache>
            </c:strRef>
          </c:tx>
          <c:spPr>
            <a:ln w="28575" cap="rnd">
              <a:solidFill>
                <a:srgbClr val="4285F4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'Analysis 3'!$A$46:$A$57</c:f>
              <c:numCache>
                <c:formatCode>[$-409]mmm\-yy;@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'Analysis 3'!$C$46:$C$57</c:f>
              <c:numCache>
                <c:formatCode>0.00%</c:formatCode>
                <c:ptCount val="12"/>
                <c:pt idx="0">
                  <c:v>1.0374708304225631E-2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C-4E9A-8DFB-9AA819CA8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517320"/>
        <c:axId val="1877519368"/>
      </c:lineChart>
      <c:dateAx>
        <c:axId val="187751732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9368"/>
        <c:crosses val="autoZero"/>
        <c:auto val="1"/>
        <c:lblOffset val="100"/>
        <c:baseTimeUnit val="months"/>
      </c:dateAx>
      <c:valAx>
        <c:axId val="1877519368"/>
        <c:scaling>
          <c:orientation val="minMax"/>
          <c:max val="0.02"/>
          <c:min val="-1.499999999999999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Changes F&amp;B categories</a:t>
            </a:r>
          </a:p>
        </c:rich>
      </c:tx>
      <c:layout>
        <c:manualLayout>
          <c:xMode val="edge"/>
          <c:yMode val="edge"/>
          <c:x val="0.41670916818457809"/>
          <c:y val="2.8373691862429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DA-405D-A19A-7C1EB2DB4666}"/>
              </c:ext>
            </c:extLst>
          </c:dPt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DA-405D-A19A-7C1EB2DB4666}"/>
              </c:ext>
            </c:extLst>
          </c:dPt>
          <c:dPt>
            <c:idx val="1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DA-405D-A19A-7C1EB2DB4666}"/>
              </c:ext>
            </c:extLst>
          </c:dPt>
          <c:dLbls>
            <c:dLbl>
              <c:idx val="12"/>
              <c:layout>
                <c:manualLayout>
                  <c:x val="-6.5478835463542273E-2"/>
                  <c:y val="3.9320421053876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DA-405D-A19A-7C1EB2DB46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3'!$J$45:$J$57</c:f>
              <c:strCache>
                <c:ptCount val="13"/>
                <c:pt idx="0">
                  <c:v>Oils and fats</c:v>
                </c:pt>
                <c:pt idx="1">
                  <c:v>Vegetables</c:v>
                </c:pt>
                <c:pt idx="2">
                  <c:v>Meat and fish</c:v>
                </c:pt>
                <c:pt idx="3">
                  <c:v>Fruits</c:v>
                </c:pt>
                <c:pt idx="4">
                  <c:v>Sugar and Confectionery</c:v>
                </c:pt>
                <c:pt idx="5">
                  <c:v>Food and beverages</c:v>
                </c:pt>
                <c:pt idx="6">
                  <c:v>Non-alcoholic beverages</c:v>
                </c:pt>
                <c:pt idx="7">
                  <c:v>Prepared meals, snacks, sweets etc.</c:v>
                </c:pt>
                <c:pt idx="8">
                  <c:v>Egg</c:v>
                </c:pt>
                <c:pt idx="9">
                  <c:v>Pulses and products</c:v>
                </c:pt>
                <c:pt idx="10">
                  <c:v>Milk and products</c:v>
                </c:pt>
                <c:pt idx="11">
                  <c:v>Cereals and products</c:v>
                </c:pt>
                <c:pt idx="12">
                  <c:v>Spices</c:v>
                </c:pt>
              </c:strCache>
            </c:strRef>
          </c:cat>
          <c:val>
            <c:numRef>
              <c:f>'Analysis 3'!$K$45:$K$57</c:f>
              <c:numCache>
                <c:formatCode>0.0%</c:formatCode>
                <c:ptCount val="13"/>
                <c:pt idx="0">
                  <c:v>-0.15636424061149887</c:v>
                </c:pt>
                <c:pt idx="1">
                  <c:v>-8.1337047353760419E-2</c:v>
                </c:pt>
                <c:pt idx="2">
                  <c:v>-1.1793536529330531E-2</c:v>
                </c:pt>
                <c:pt idx="3">
                  <c:v>6.815968841285408E-3</c:v>
                </c:pt>
                <c:pt idx="4">
                  <c:v>2.5013896609227346E-2</c:v>
                </c:pt>
                <c:pt idx="5">
                  <c:v>3.335889570552137E-2</c:v>
                </c:pt>
                <c:pt idx="6">
                  <c:v>3.8492381716118546E-2</c:v>
                </c:pt>
                <c:pt idx="7">
                  <c:v>6.425702811244989E-2</c:v>
                </c:pt>
                <c:pt idx="8">
                  <c:v>6.7636810821889728E-2</c:v>
                </c:pt>
                <c:pt idx="9">
                  <c:v>6.8043742405832261E-2</c:v>
                </c:pt>
                <c:pt idx="10">
                  <c:v>8.8098605778945224E-2</c:v>
                </c:pt>
                <c:pt idx="11">
                  <c:v>0.1248652145783913</c:v>
                </c:pt>
                <c:pt idx="12">
                  <c:v>0.17724724181588003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DA-405D-A19A-7C1EB2DB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80869383"/>
        <c:axId val="1280871431"/>
      </c:barChart>
      <c:catAx>
        <c:axId val="1280869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71431"/>
        <c:crosses val="autoZero"/>
        <c:auto val="1"/>
        <c:lblAlgn val="ctr"/>
        <c:lblOffset val="100"/>
        <c:noMultiLvlLbl val="0"/>
      </c:catAx>
      <c:valAx>
        <c:axId val="1280871431"/>
        <c:scaling>
          <c:orientation val="minMax"/>
        </c:scaling>
        <c:delete val="1"/>
        <c:axPos val="b"/>
        <c:numFmt formatCode="0%" sourceLinked="0"/>
        <c:majorTickMark val="none"/>
        <c:minorTickMark val="none"/>
        <c:tickLblPos val="nextTo"/>
        <c:crossAx val="1280869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Covid on Food, Essentials and Health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4'!$V$19</c:f>
              <c:strCache>
                <c:ptCount val="1"/>
                <c:pt idx="0">
                  <c:v>F&amp;B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rgbClr val="81160E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4'!$AC$19:$AD$19</c:f>
              <c:numCache>
                <c:formatCode>0.0%</c:formatCode>
                <c:ptCount val="2"/>
                <c:pt idx="0">
                  <c:v>9.1434766895554603E-2</c:v>
                </c:pt>
                <c:pt idx="1">
                  <c:v>0.15239518326448079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8-4ED1-BF74-212B7B98B185}"/>
            </c:ext>
          </c:extLst>
        </c:ser>
        <c:ser>
          <c:idx val="1"/>
          <c:order val="1"/>
          <c:tx>
            <c:strRef>
              <c:f>'Analysis 4'!$V$20</c:f>
              <c:strCache>
                <c:ptCount val="1"/>
                <c:pt idx="0">
                  <c:v>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rgbClr val="277E4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4'!$AC$20:$AD$20</c:f>
              <c:numCache>
                <c:formatCode>0.0%</c:formatCode>
                <c:ptCount val="2"/>
                <c:pt idx="0">
                  <c:v>4.3505083700127033E-2</c:v>
                </c:pt>
                <c:pt idx="1">
                  <c:v>0.10147708307315031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8-4ED1-BF74-212B7B98B185}"/>
            </c:ext>
          </c:extLst>
        </c:ser>
        <c:ser>
          <c:idx val="2"/>
          <c:order val="2"/>
          <c:tx>
            <c:strRef>
              <c:f>'Analysis 4'!$V$21</c:f>
              <c:strCache>
                <c:ptCount val="1"/>
                <c:pt idx="0">
                  <c:v>HC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rgbClr val="8036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4'!$AC$21:$AD$21</c:f>
              <c:numCache>
                <c:formatCode>0.0%</c:formatCode>
                <c:ptCount val="2"/>
                <c:pt idx="0">
                  <c:v>6.2733293196869391E-2</c:v>
                </c:pt>
                <c:pt idx="1">
                  <c:v>0.1212904676258994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08-4ED1-BF74-212B7B98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789895"/>
        <c:axId val="1362801159"/>
      </c:lineChart>
      <c:catAx>
        <c:axId val="1362789895"/>
        <c:scaling>
          <c:orientation val="minMax"/>
        </c:scaling>
        <c:delete val="0"/>
        <c:axPos val="b"/>
        <c:majorGridlines>
          <c:spPr>
            <a:ln w="28575" cap="flat" cmpd="sng" algn="ctr">
              <a:solidFill>
                <a:srgbClr val="BFBFBF"/>
              </a:solidFill>
              <a:prstDash val="lgDashDot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01159"/>
        <c:crosses val="autoZero"/>
        <c:auto val="1"/>
        <c:lblAlgn val="ctr"/>
        <c:lblOffset val="100"/>
        <c:noMultiLvlLbl val="0"/>
      </c:catAx>
      <c:valAx>
        <c:axId val="13628011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contributed Inflation onset of Covid  </a:t>
            </a:r>
          </a:p>
        </c:rich>
      </c:tx>
      <c:layout>
        <c:manualLayout>
          <c:xMode val="edge"/>
          <c:yMode val="edge"/>
          <c:x val="0.22672225080803321"/>
          <c:y val="3.2225690723570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4'!$K$46:$K$50</c:f>
              <c:strCache>
                <c:ptCount val="5"/>
                <c:pt idx="0">
                  <c:v>FB Oils and fats</c:v>
                </c:pt>
                <c:pt idx="1">
                  <c:v>FB Non-alcoholic beverages</c:v>
                </c:pt>
                <c:pt idx="2">
                  <c:v>Ess Transport and communication</c:v>
                </c:pt>
                <c:pt idx="3">
                  <c:v>FB Meat and fish</c:v>
                </c:pt>
                <c:pt idx="4">
                  <c:v>FB Egg</c:v>
                </c:pt>
              </c:strCache>
            </c:strRef>
          </c:cat>
          <c:val>
            <c:numRef>
              <c:f>'Analysis 4'!$L$46:$L$50</c:f>
              <c:numCache>
                <c:formatCode>0%</c:formatCode>
                <c:ptCount val="5"/>
                <c:pt idx="0">
                  <c:v>0.41885350318471343</c:v>
                </c:pt>
                <c:pt idx="1">
                  <c:v>0.20166625827003187</c:v>
                </c:pt>
                <c:pt idx="2">
                  <c:v>0.19438058748403581</c:v>
                </c:pt>
                <c:pt idx="3">
                  <c:v>0.18981297254277762</c:v>
                </c:pt>
                <c:pt idx="4">
                  <c:v>0.17244405440982902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7AA-8364-273EA254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95602184"/>
        <c:axId val="696348679"/>
      </c:barChart>
      <c:catAx>
        <c:axId val="10956021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48679"/>
        <c:crosses val="autoZero"/>
        <c:auto val="1"/>
        <c:lblAlgn val="ctr"/>
        <c:lblOffset val="100"/>
        <c:noMultiLvlLbl val="0"/>
      </c:catAx>
      <c:valAx>
        <c:axId val="696348679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high"/>
        <c:crossAx val="109560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Imact of Crude Oil Prices on Related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'Analysis 5'!$B$81</c:f>
              <c:strCache>
                <c:ptCount val="1"/>
                <c:pt idx="0">
                  <c:v>Food - Oils and fats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5'!$C$81:$AE$81</c:f>
              <c:numCache>
                <c:formatCode>0.00%</c:formatCode>
                <c:ptCount val="29"/>
                <c:pt idx="0">
                  <c:v>2.8584495769494758E-2</c:v>
                </c:pt>
                <c:pt idx="1">
                  <c:v>5.1800800355713737E-2</c:v>
                </c:pt>
                <c:pt idx="2">
                  <c:v>3.2551257662227807E-2</c:v>
                </c:pt>
                <c:pt idx="3">
                  <c:v>3.7256908904810621E-2</c:v>
                </c:pt>
                <c:pt idx="4">
                  <c:v>4.9733570159857771E-2</c:v>
                </c:pt>
                <c:pt idx="5">
                  <c:v>2.7072758037225111E-2</c:v>
                </c:pt>
                <c:pt idx="6">
                  <c:v>-8.9694307157239198E-3</c:v>
                </c:pt>
                <c:pt idx="7">
                  <c:v>2.3088289619504935E-2</c:v>
                </c:pt>
                <c:pt idx="8">
                  <c:v>8.3047481494854559E-3</c:v>
                </c:pt>
                <c:pt idx="9">
                  <c:v>1.3428827215756492E-2</c:v>
                </c:pt>
                <c:pt idx="10">
                  <c:v>-3.0035335689045737E-3</c:v>
                </c:pt>
                <c:pt idx="11">
                  <c:v>-1.3113592060960341E-2</c:v>
                </c:pt>
                <c:pt idx="12">
                  <c:v>-1.544262883821172E-2</c:v>
                </c:pt>
                <c:pt idx="13">
                  <c:v>1.276673354003366E-3</c:v>
                </c:pt>
                <c:pt idx="14">
                  <c:v>5.2276867030965526E-2</c:v>
                </c:pt>
                <c:pt idx="15">
                  <c:v>2.6311234204604295E-2</c:v>
                </c:pt>
                <c:pt idx="16">
                  <c:v>1.5010963062911125E-2</c:v>
                </c:pt>
                <c:pt idx="17">
                  <c:v>-6.9790628115651912E-3</c:v>
                </c:pt>
                <c:pt idx="18">
                  <c:v>-2.4765729585006852E-2</c:v>
                </c:pt>
                <c:pt idx="19">
                  <c:v>-1.681537405627995E-2</c:v>
                </c:pt>
                <c:pt idx="20">
                  <c:v>-1.9022687609075006E-2</c:v>
                </c:pt>
                <c:pt idx="21">
                  <c:v>-1.1207970112079822E-2</c:v>
                </c:pt>
                <c:pt idx="22">
                  <c:v>1.2774379273119869E-2</c:v>
                </c:pt>
                <c:pt idx="23">
                  <c:v>-2.4871202700302111E-3</c:v>
                </c:pt>
                <c:pt idx="24">
                  <c:v>-6.589492430988505E-3</c:v>
                </c:pt>
                <c:pt idx="25">
                  <c:v>-4.1054141269272107E-2</c:v>
                </c:pt>
                <c:pt idx="26">
                  <c:v>-3.7390166386222355E-4</c:v>
                </c:pt>
                <c:pt idx="27">
                  <c:v>-2.3564615672339723E-2</c:v>
                </c:pt>
                <c:pt idx="28">
                  <c:v>-2.7580923194790337E-2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1F-47C9-BC42-713E195AA85C}"/>
            </c:ext>
          </c:extLst>
        </c:ser>
        <c:ser>
          <c:idx val="1"/>
          <c:order val="1"/>
          <c:tx>
            <c:strRef>
              <c:f>'Analysis 5'!$B$95</c:f>
              <c:strCache>
                <c:ptCount val="1"/>
                <c:pt idx="0">
                  <c:v>HH -Fuel and light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5'!$C$95:$AE$95</c:f>
              <c:numCache>
                <c:formatCode>0.00%</c:formatCode>
                <c:ptCount val="29"/>
                <c:pt idx="0">
                  <c:v>2.435064935064955E-2</c:v>
                </c:pt>
                <c:pt idx="1">
                  <c:v>3.2148517093049486E-2</c:v>
                </c:pt>
                <c:pt idx="2">
                  <c:v>2.2812020179864018E-2</c:v>
                </c:pt>
                <c:pt idx="3">
                  <c:v>4.2890842805058682E-4</c:v>
                </c:pt>
                <c:pt idx="4">
                  <c:v>2.1650589496248526E-2</c:v>
                </c:pt>
                <c:pt idx="5">
                  <c:v>2.9374737725557936E-3</c:v>
                </c:pt>
                <c:pt idx="6">
                  <c:v>6.0669456066943942E-3</c:v>
                </c:pt>
                <c:pt idx="7">
                  <c:v>1.1436889166146868E-2</c:v>
                </c:pt>
                <c:pt idx="8">
                  <c:v>1.4391447368420234E-3</c:v>
                </c:pt>
                <c:pt idx="9">
                  <c:v>9.854239375898315E-3</c:v>
                </c:pt>
                <c:pt idx="10">
                  <c:v>-2.2362268753812211E-3</c:v>
                </c:pt>
                <c:pt idx="11">
                  <c:v>1.222493887530493E-3</c:v>
                </c:pt>
                <c:pt idx="12">
                  <c:v>4.0700040700038389E-4</c:v>
                </c:pt>
                <c:pt idx="13">
                  <c:v>9.1537835638732419E-3</c:v>
                </c:pt>
                <c:pt idx="14">
                  <c:v>9.0707518645434387E-3</c:v>
                </c:pt>
                <c:pt idx="15">
                  <c:v>3.0763084298841344E-2</c:v>
                </c:pt>
                <c:pt idx="16">
                  <c:v>1.4341085271318006E-2</c:v>
                </c:pt>
                <c:pt idx="17">
                  <c:v>8.024455483377619E-3</c:v>
                </c:pt>
                <c:pt idx="18">
                  <c:v>2.103866565580011E-2</c:v>
                </c:pt>
                <c:pt idx="19">
                  <c:v>-4.4551698533507218E-3</c:v>
                </c:pt>
                <c:pt idx="20">
                  <c:v>3.915718814096524E-3</c:v>
                </c:pt>
                <c:pt idx="21">
                  <c:v>5.3863298662702834E-3</c:v>
                </c:pt>
                <c:pt idx="22">
                  <c:v>4.0642896730095062E-3</c:v>
                </c:pt>
                <c:pt idx="23">
                  <c:v>3.4958601655936485E-3</c:v>
                </c:pt>
                <c:pt idx="24">
                  <c:v>-1.8335166850048557E-4</c:v>
                </c:pt>
                <c:pt idx="25">
                  <c:v>2.2006235099945298E-3</c:v>
                </c:pt>
                <c:pt idx="26">
                  <c:v>-1.0978956999084463E-3</c:v>
                </c:pt>
                <c:pt idx="27">
                  <c:v>-1.0991023997069997E-3</c:v>
                </c:pt>
                <c:pt idx="28">
                  <c:v>6.2350999449845273E-3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1F-47C9-BC42-713E195AA85C}"/>
            </c:ext>
          </c:extLst>
        </c:ser>
        <c:ser>
          <c:idx val="2"/>
          <c:order val="2"/>
          <c:tx>
            <c:strRef>
              <c:f>'Analysis 5'!$B$98</c:f>
              <c:strCache>
                <c:ptCount val="1"/>
                <c:pt idx="0">
                  <c:v>Misc - Transport and communication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5'!$C$98:$AE$98</c:f>
              <c:numCache>
                <c:formatCode>0.00%</c:formatCode>
                <c:ptCount val="29"/>
                <c:pt idx="0">
                  <c:v>8.7553241836250822E-3</c:v>
                </c:pt>
                <c:pt idx="1">
                  <c:v>2.2284775979357394E-2</c:v>
                </c:pt>
                <c:pt idx="2">
                  <c:v>7.8017439192289515E-3</c:v>
                </c:pt>
                <c:pt idx="3">
                  <c:v>2.7322404371583147E-3</c:v>
                </c:pt>
                <c:pt idx="4">
                  <c:v>1.5213442325159051E-2</c:v>
                </c:pt>
                <c:pt idx="5">
                  <c:v>1.1854171326325106E-2</c:v>
                </c:pt>
                <c:pt idx="6">
                  <c:v>1.6136162687887042E-2</c:v>
                </c:pt>
                <c:pt idx="7">
                  <c:v>5.2207961714160296E-3</c:v>
                </c:pt>
                <c:pt idx="8">
                  <c:v>4.3280675178530327E-4</c:v>
                </c:pt>
                <c:pt idx="9">
                  <c:v>1.1031797534068712E-2</c:v>
                </c:pt>
                <c:pt idx="10">
                  <c:v>-5.3487376979031737E-3</c:v>
                </c:pt>
                <c:pt idx="11">
                  <c:v>5.8077005807700951E-3</c:v>
                </c:pt>
                <c:pt idx="12">
                  <c:v>5.1325919589391544E-3</c:v>
                </c:pt>
                <c:pt idx="13">
                  <c:v>2.5531914893617384E-3</c:v>
                </c:pt>
                <c:pt idx="14">
                  <c:v>6.1544991511035775E-3</c:v>
                </c:pt>
                <c:pt idx="15">
                  <c:v>2.9529635098080514E-2</c:v>
                </c:pt>
                <c:pt idx="16">
                  <c:v>2.8682646998565986E-3</c:v>
                </c:pt>
                <c:pt idx="17">
                  <c:v>-1.1644535240040893E-2</c:v>
                </c:pt>
                <c:pt idx="18">
                  <c:v>3.1004547333610697E-3</c:v>
                </c:pt>
                <c:pt idx="19">
                  <c:v>1.8545229754791553E-3</c:v>
                </c:pt>
                <c:pt idx="20">
                  <c:v>2.4681201151787982E-3</c:v>
                </c:pt>
                <c:pt idx="21">
                  <c:v>3.4878949528108095E-3</c:v>
                </c:pt>
                <c:pt idx="22">
                  <c:v>6.1337149867099353E-4</c:v>
                </c:pt>
                <c:pt idx="23">
                  <c:v>2.451982018798564E-3</c:v>
                </c:pt>
                <c:pt idx="24">
                  <c:v>1.4268242967795464E-3</c:v>
                </c:pt>
                <c:pt idx="25">
                  <c:v>3.4602076124567241E-3</c:v>
                </c:pt>
                <c:pt idx="26">
                  <c:v>0</c:v>
                </c:pt>
                <c:pt idx="27">
                  <c:v>2.0283975659228055E-3</c:v>
                </c:pt>
                <c:pt idx="28">
                  <c:v>1.8218623481782068E-3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1F-47C9-BC42-713E195AA85C}"/>
            </c:ext>
          </c:extLst>
        </c:ser>
        <c:ser>
          <c:idx val="3"/>
          <c:order val="3"/>
          <c:tx>
            <c:strRef>
              <c:f>'Analysis 5'!$B$104</c:f>
              <c:strCache>
                <c:ptCount val="1"/>
                <c:pt idx="0">
                  <c:v>Crude Oil (% Change)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5'!$C$104:$AE$104</c:f>
              <c:numCache>
                <c:formatCode>0.00%</c:formatCode>
                <c:ptCount val="29"/>
                <c:pt idx="0">
                  <c:v>9.9317817014446141E-2</c:v>
                </c:pt>
                <c:pt idx="1">
                  <c:v>0.11735718196751231</c:v>
                </c:pt>
                <c:pt idx="2">
                  <c:v>5.7334204508330697E-2</c:v>
                </c:pt>
                <c:pt idx="3">
                  <c:v>-2.0546887069365138E-2</c:v>
                </c:pt>
                <c:pt idx="4">
                  <c:v>5.5993690851735084E-2</c:v>
                </c:pt>
                <c:pt idx="5">
                  <c:v>7.5130694548170285E-2</c:v>
                </c:pt>
                <c:pt idx="6">
                  <c:v>2.1672686857460436E-2</c:v>
                </c:pt>
                <c:pt idx="7">
                  <c:v>-5.0856676638564163E-2</c:v>
                </c:pt>
                <c:pt idx="8">
                  <c:v>4.7707736389684792E-2</c:v>
                </c:pt>
                <c:pt idx="9">
                  <c:v>0.12279502256255989</c:v>
                </c:pt>
                <c:pt idx="10">
                  <c:v>-1.7902813299232722E-2</c:v>
                </c:pt>
                <c:pt idx="11">
                  <c:v>-9.1021825396825434E-2</c:v>
                </c:pt>
                <c:pt idx="12">
                  <c:v>0.15511596180081863</c:v>
                </c:pt>
                <c:pt idx="13">
                  <c:v>0.11101925121058216</c:v>
                </c:pt>
                <c:pt idx="14">
                  <c:v>0.19985117465717034</c:v>
                </c:pt>
                <c:pt idx="15">
                  <c:v>-8.7711526534951761E-2</c:v>
                </c:pt>
                <c:pt idx="16">
                  <c:v>6.3513644750898379E-2</c:v>
                </c:pt>
                <c:pt idx="17">
                  <c:v>5.9355310017350012E-2</c:v>
                </c:pt>
                <c:pt idx="18">
                  <c:v>-9.0681837772605897E-2</c:v>
                </c:pt>
                <c:pt idx="19">
                  <c:v>-7.6689733624040093E-2</c:v>
                </c:pt>
                <c:pt idx="20">
                  <c:v>-6.8685831622176716E-2</c:v>
                </c:pt>
                <c:pt idx="21">
                  <c:v>1.0913901444162818E-2</c:v>
                </c:pt>
                <c:pt idx="22">
                  <c:v>-4.5256270447110204E-2</c:v>
                </c:pt>
                <c:pt idx="23">
                  <c:v>-0.10793832095945177</c:v>
                </c:pt>
                <c:pt idx="24">
                  <c:v>3.6107554417413666E-2</c:v>
                </c:pt>
                <c:pt idx="25">
                  <c:v>1.6806722689075623E-2</c:v>
                </c:pt>
                <c:pt idx="26">
                  <c:v>-4.5454545454545393E-2</c:v>
                </c:pt>
                <c:pt idx="27">
                  <c:v>6.6462948815889974E-2</c:v>
                </c:pt>
                <c:pt idx="28">
                  <c:v>-0.10482330468003821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1F-47C9-BC42-713E195A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3191"/>
        <c:axId val="1502844423"/>
      </c:scatterChart>
      <c:valAx>
        <c:axId val="150281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4423"/>
        <c:crosses val="autoZero"/>
        <c:crossBetween val="midCat"/>
        <c:majorUnit val="50"/>
        <c:minorUnit val="10"/>
      </c:valAx>
      <c:valAx>
        <c:axId val="150284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13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922744039034899E-2"/>
          <c:y val="0.92867142932052438"/>
          <c:w val="0.7463199298799702"/>
          <c:h val="5.3165091863517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Crude Oil and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5'!$D$111</c:f>
              <c:strCache>
                <c:ptCount val="1"/>
                <c:pt idx="0">
                  <c:v>Co-Relation wit Crude Oil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5'!$C$112:$C$138</c:f>
              <c:strCache>
                <c:ptCount val="27"/>
                <c:pt idx="0">
                  <c:v>Food - Oils and fats</c:v>
                </c:pt>
                <c:pt idx="1">
                  <c:v>Food - Meat and fish</c:v>
                </c:pt>
                <c:pt idx="2">
                  <c:v>Food - Non-alcoholic beverages</c:v>
                </c:pt>
                <c:pt idx="3">
                  <c:v>Misc - General index</c:v>
                </c:pt>
                <c:pt idx="4">
                  <c:v>Misc - Recreation and amusement</c:v>
                </c:pt>
                <c:pt idx="5">
                  <c:v>Food - Food and beverages</c:v>
                </c:pt>
                <c:pt idx="6">
                  <c:v>Misc - Pan, tobacco and intoxicants</c:v>
                </c:pt>
                <c:pt idx="7">
                  <c:v>HH -Fuel and light</c:v>
                </c:pt>
                <c:pt idx="8">
                  <c:v>CF Footwear</c:v>
                </c:pt>
                <c:pt idx="9">
                  <c:v>Food - Prepared meals, snacks, sweets etc.</c:v>
                </c:pt>
                <c:pt idx="10">
                  <c:v>CF Clothing and footwear</c:v>
                </c:pt>
                <c:pt idx="11">
                  <c:v>Misc - Miscellaneous</c:v>
                </c:pt>
                <c:pt idx="12">
                  <c:v>Misc - Health</c:v>
                </c:pt>
                <c:pt idx="13">
                  <c:v>CF Clothing</c:v>
                </c:pt>
                <c:pt idx="14">
                  <c:v>Misc - Transport and communication</c:v>
                </c:pt>
                <c:pt idx="15">
                  <c:v>Food - Vegetables</c:v>
                </c:pt>
                <c:pt idx="16">
                  <c:v>Food - Fruits</c:v>
                </c:pt>
                <c:pt idx="17">
                  <c:v>HH - Housing</c:v>
                </c:pt>
                <c:pt idx="18">
                  <c:v>Misc - Personal care and effects</c:v>
                </c:pt>
                <c:pt idx="19">
                  <c:v>HH - Household goods and services</c:v>
                </c:pt>
                <c:pt idx="20">
                  <c:v>Misc - Education</c:v>
                </c:pt>
                <c:pt idx="21">
                  <c:v>Food - Sugar and Confectionery</c:v>
                </c:pt>
                <c:pt idx="22">
                  <c:v>Food - Pulses and products</c:v>
                </c:pt>
                <c:pt idx="23">
                  <c:v>Food - Spices</c:v>
                </c:pt>
                <c:pt idx="24">
                  <c:v>Food - Milk and products</c:v>
                </c:pt>
                <c:pt idx="25">
                  <c:v>Food - Egg</c:v>
                </c:pt>
                <c:pt idx="26">
                  <c:v>Food - Cereals and products</c:v>
                </c:pt>
              </c:strCache>
            </c:strRef>
          </c:cat>
          <c:val>
            <c:numRef>
              <c:f>'Analysis 5'!$D$112:$D$138</c:f>
              <c:numCache>
                <c:formatCode>0.00</c:formatCode>
                <c:ptCount val="27"/>
                <c:pt idx="0">
                  <c:v>0.49521092132696182</c:v>
                </c:pt>
                <c:pt idx="1">
                  <c:v>0.44568018115426916</c:v>
                </c:pt>
                <c:pt idx="2">
                  <c:v>0.28081629500921551</c:v>
                </c:pt>
                <c:pt idx="3">
                  <c:v>0.23429305844482645</c:v>
                </c:pt>
                <c:pt idx="4">
                  <c:v>0.21919400826410637</c:v>
                </c:pt>
                <c:pt idx="5">
                  <c:v>0.21342461591183207</c:v>
                </c:pt>
                <c:pt idx="6">
                  <c:v>0.20631531984123422</c:v>
                </c:pt>
                <c:pt idx="7">
                  <c:v>0.19442062730956886</c:v>
                </c:pt>
                <c:pt idx="8">
                  <c:v>0.1661027232888814</c:v>
                </c:pt>
                <c:pt idx="9">
                  <c:v>0.16196462792204094</c:v>
                </c:pt>
                <c:pt idx="10">
                  <c:v>0.13987146898586433</c:v>
                </c:pt>
                <c:pt idx="11">
                  <c:v>0.13397202634750632</c:v>
                </c:pt>
                <c:pt idx="12">
                  <c:v>0.13205009744677337</c:v>
                </c:pt>
                <c:pt idx="13">
                  <c:v>0.12855493436217133</c:v>
                </c:pt>
                <c:pt idx="14">
                  <c:v>0.12408099044160607</c:v>
                </c:pt>
                <c:pt idx="15">
                  <c:v>0.12011494885461682</c:v>
                </c:pt>
                <c:pt idx="16">
                  <c:v>9.1157786511261704E-2</c:v>
                </c:pt>
                <c:pt idx="17">
                  <c:v>8.9549687985189377E-2</c:v>
                </c:pt>
                <c:pt idx="18">
                  <c:v>3.3358155631668114E-2</c:v>
                </c:pt>
                <c:pt idx="19">
                  <c:v>2.1766254353444661E-2</c:v>
                </c:pt>
                <c:pt idx="20">
                  <c:v>-4.9266888958167457E-2</c:v>
                </c:pt>
                <c:pt idx="21">
                  <c:v>-9.6307317489000899E-2</c:v>
                </c:pt>
                <c:pt idx="22">
                  <c:v>-0.15360854616105721</c:v>
                </c:pt>
                <c:pt idx="23">
                  <c:v>-0.18971443064396271</c:v>
                </c:pt>
                <c:pt idx="24">
                  <c:v>-0.20585723918586332</c:v>
                </c:pt>
                <c:pt idx="25">
                  <c:v>-0.28695164868791845</c:v>
                </c:pt>
                <c:pt idx="26">
                  <c:v>-0.31976679065673252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6-43E4-AC31-893195929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4100488"/>
        <c:axId val="2134111752"/>
      </c:barChart>
      <c:catAx>
        <c:axId val="21341004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1752"/>
        <c:crosses val="autoZero"/>
        <c:auto val="1"/>
        <c:lblAlgn val="ctr"/>
        <c:lblOffset val="100"/>
        <c:noMultiLvlLbl val="0"/>
      </c:catAx>
      <c:valAx>
        <c:axId val="213411175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high"/>
        <c:crossAx val="21341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1'!$A$3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781178474426271E-2"/>
                  <c:y val="-1.00591715976331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A74-45E4-8F65-40F8B859D994}"/>
                </c:ext>
              </c:extLst>
            </c:dLbl>
            <c:dLbl>
              <c:idx val="1"/>
              <c:layout>
                <c:manualLayout>
                  <c:x val="-3.7109327316284177E-2"/>
                  <c:y val="-1.9526573045719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A74-45E4-8F65-40F8B859D994}"/>
                </c:ext>
              </c:extLst>
            </c:dLbl>
            <c:dLbl>
              <c:idx val="2"/>
              <c:layout>
                <c:manualLayout>
                  <c:x val="1.1718749999999045E-3"/>
                  <c:y val="-8.28400561090051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A74-45E4-8F65-40F8B859D994}"/>
                </c:ext>
              </c:extLst>
            </c:dLbl>
            <c:dLbl>
              <c:idx val="3"/>
              <c:layout>
                <c:manualLayout>
                  <c:x val="-5.3515601158142183E-2"/>
                  <c:y val="-8.8757396449704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A74-45E4-8F65-40F8B859D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1'!$AM$3:$AP$3</c:f>
              <c:numCache>
                <c:formatCode>0.00%</c:formatCode>
                <c:ptCount val="4"/>
                <c:pt idx="0">
                  <c:v>0.2411623390361067</c:v>
                </c:pt>
                <c:pt idx="1">
                  <c:v>0.25237454015687555</c:v>
                </c:pt>
                <c:pt idx="2">
                  <c:v>0.25999322204519776</c:v>
                </c:pt>
                <c:pt idx="3">
                  <c:v>0.24646989876182007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74-45E4-8F65-40F8B859D994}"/>
            </c:ext>
          </c:extLst>
        </c:ser>
        <c:ser>
          <c:idx val="1"/>
          <c:order val="1"/>
          <c:tx>
            <c:strRef>
              <c:f>'Analysis 1'!$A$4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719465255737066E-3"/>
                  <c:y val="-8.8757396449703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A74-45E4-8F65-40F8B859D994}"/>
                </c:ext>
              </c:extLst>
            </c:dLbl>
            <c:dLbl>
              <c:idx val="1"/>
              <c:layout>
                <c:manualLayout>
                  <c:x val="9.3750715255736822E-3"/>
                  <c:y val="-2.2485170985114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A74-45E4-8F65-40F8B859D994}"/>
                </c:ext>
              </c:extLst>
            </c:dLbl>
            <c:dLbl>
              <c:idx val="2"/>
              <c:layout>
                <c:manualLayout>
                  <c:x val="6.6406965255737301E-3"/>
                  <c:y val="-2.60355029585799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A74-45E4-8F65-40F8B859D994}"/>
                </c:ext>
              </c:extLst>
            </c:dLbl>
            <c:dLbl>
              <c:idx val="3"/>
              <c:layout>
                <c:manualLayout>
                  <c:x val="-3.9060115814218535E-4"/>
                  <c:y val="-2.48520890636556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A74-45E4-8F65-40F8B859D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1'!$AM$4:$AP$4</c:f>
              <c:numCache>
                <c:formatCode>0.00%</c:formatCode>
                <c:ptCount val="4"/>
                <c:pt idx="0">
                  <c:v>0.25173604961505824</c:v>
                </c:pt>
                <c:pt idx="1">
                  <c:v>0.25460007587436478</c:v>
                </c:pt>
                <c:pt idx="2">
                  <c:v>0.24698543140325993</c:v>
                </c:pt>
                <c:pt idx="3">
                  <c:v>0.24667844310731704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74-45E4-8F65-40F8B859D994}"/>
            </c:ext>
          </c:extLst>
        </c:ser>
        <c:ser>
          <c:idx val="2"/>
          <c:order val="2"/>
          <c:tx>
            <c:strRef>
              <c:f>'Analysis 1'!$A$5</c:f>
              <c:strCache>
                <c:ptCount val="1"/>
                <c:pt idx="0">
                  <c:v>Rural+Urban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000023841857909E-2"/>
                  <c:y val="-6.24887538679391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A74-45E4-8F65-40F8B859D994}"/>
                </c:ext>
              </c:extLst>
            </c:dLbl>
            <c:dLbl>
              <c:idx val="1"/>
              <c:layout>
                <c:manualLayout>
                  <c:x val="3.5546851158142087E-2"/>
                  <c:y val="-6.50639084315643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A74-45E4-8F65-40F8B859D994}"/>
                </c:ext>
              </c:extLst>
            </c:dLbl>
            <c:dLbl>
              <c:idx val="2"/>
              <c:layout>
                <c:manualLayout>
                  <c:x val="2.3437738418579102E-3"/>
                  <c:y val="-1.2281564779085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A74-45E4-8F65-40F8B859D994}"/>
                </c:ext>
              </c:extLst>
            </c:dLbl>
            <c:dLbl>
              <c:idx val="3"/>
              <c:layout>
                <c:manualLayout>
                  <c:x val="4.5703101158141898E-2"/>
                  <c:y val="-1.05148033757403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A74-45E4-8F65-40F8B859D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1'!$AM$2:$AP$2</c:f>
              <c:strCache>
                <c:ptCount val="4"/>
                <c:pt idx="0">
                  <c:v>Food Beverages</c:v>
                </c:pt>
                <c:pt idx="1">
                  <c:v>Miscellaneous</c:v>
                </c:pt>
                <c:pt idx="2">
                  <c:v>Clothing and footwear</c:v>
                </c:pt>
                <c:pt idx="3">
                  <c:v>Essentials</c:v>
                </c:pt>
              </c:strCache>
            </c:strRef>
          </c:cat>
          <c:val>
            <c:numRef>
              <c:f>'Analysis 1'!$AM$5:$AP$5</c:f>
              <c:numCache>
                <c:formatCode>0.00%</c:formatCode>
                <c:ptCount val="4"/>
                <c:pt idx="0">
                  <c:v>0.24559579345678129</c:v>
                </c:pt>
                <c:pt idx="1">
                  <c:v>0.25276419409230511</c:v>
                </c:pt>
                <c:pt idx="2">
                  <c:v>0.2552092574773922</c:v>
                </c:pt>
                <c:pt idx="3">
                  <c:v>0.24643075497352154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74-45E4-8F65-40F8B859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380168"/>
        <c:axId val="836403208"/>
      </c:barChart>
      <c:catAx>
        <c:axId val="83638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3208"/>
        <c:crosses val="autoZero"/>
        <c:auto val="1"/>
        <c:lblAlgn val="ctr"/>
        <c:lblOffset val="100"/>
        <c:noMultiLvlLbl val="0"/>
      </c:catAx>
      <c:valAx>
        <c:axId val="83640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8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Case Study.xlsx]Analysis 2!PivotTable1</c:name>
    <c:fmtId val="0"/>
  </c:pivotSource>
  <c:chart>
    <c:autoTitleDeleted val="1"/>
    <c:pivotFmts>
      <c:pivotFmt>
        <c:idx val="0"/>
        <c:spPr>
          <a:solidFill>
            <a:srgbClr val="8CB5F9"/>
          </a:solidFill>
          <a:ln w="3175">
            <a:solidFill>
              <a:srgbClr val="093D9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10"/>
          <c:spPr>
            <a:solidFill>
              <a:srgbClr val="FFE1CC"/>
            </a:solidFill>
            <a:ln w="31750">
              <a:solidFill>
                <a:srgbClr val="FFE1C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10"/>
          <c:spPr>
            <a:solidFill>
              <a:srgbClr val="FF6D01"/>
            </a:solidFill>
            <a:ln w="31750">
              <a:solidFill>
                <a:srgbClr val="FFE1CC"/>
              </a:solidFill>
              <a:prstDash val="solid"/>
            </a:ln>
            <a:effectLst/>
          </c:spPr>
        </c:marker>
        <c:dLbl>
          <c:idx val="0"/>
          <c:layout>
            <c:manualLayout>
              <c:x val="-6.2567173507878202E-2"/>
              <c:y val="6.6915937338971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2'!$B$3</c:f>
              <c:strCache>
                <c:ptCount val="1"/>
                <c:pt idx="0">
                  <c:v>General_index</c:v>
                </c:pt>
              </c:strCache>
            </c:strRef>
          </c:tx>
          <c:spPr>
            <a:solidFill>
              <a:srgbClr val="8CB5F9"/>
            </a:solidFill>
            <a:ln w="3175">
              <a:solidFill>
                <a:srgbClr val="093D93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01-4E4F-A003-86A06E22CA98}"/>
              </c:ext>
            </c:extLst>
          </c:dPt>
          <c:cat>
            <c:strRef>
              <c:f>'Analysis 2'!$A$4:$A$12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'Analysis 2'!$B$4:$B$12</c:f>
              <c:numCache>
                <c:formatCode>General</c:formatCode>
                <c:ptCount val="8"/>
                <c:pt idx="0">
                  <c:v>129.19999999999999</c:v>
                </c:pt>
                <c:pt idx="1">
                  <c:v>133.49999999999997</c:v>
                </c:pt>
                <c:pt idx="2">
                  <c:v>138.77500000000001</c:v>
                </c:pt>
                <c:pt idx="3">
                  <c:v>144.18181818181822</c:v>
                </c:pt>
                <c:pt idx="4">
                  <c:v>153.38</c:v>
                </c:pt>
                <c:pt idx="5">
                  <c:v>161.45833333333331</c:v>
                </c:pt>
                <c:pt idx="6">
                  <c:v>172.14999999999998</c:v>
                </c:pt>
                <c:pt idx="7">
                  <c:v>177.61999999999998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A-4503-8A90-F65B708C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2058770096"/>
        <c:axId val="2058768656"/>
      </c:barChart>
      <c:lineChart>
        <c:grouping val="standard"/>
        <c:varyColors val="0"/>
        <c:ser>
          <c:idx val="1"/>
          <c:order val="1"/>
          <c:tx>
            <c:strRef>
              <c:f>'Analysis 2'!$C$3</c:f>
              <c:strCache>
                <c:ptCount val="1"/>
                <c:pt idx="0">
                  <c:v>% diff from Prev year</c:v>
                </c:pt>
              </c:strCache>
            </c:strRef>
          </c:tx>
          <c:spPr>
            <a:ln w="3492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FFE1CC"/>
              </a:solidFill>
              <a:ln w="31750">
                <a:solidFill>
                  <a:srgbClr val="FFE1CC"/>
                </a:solidFill>
                <a:prstDash val="solid"/>
              </a:ln>
              <a:effectLst/>
            </c:spPr>
          </c:marker>
          <c:dPt>
            <c:idx val="6"/>
            <c:marker>
              <c:symbol val="circle"/>
              <c:size val="10"/>
              <c:spPr>
                <a:solidFill>
                  <a:srgbClr val="FF6D01"/>
                </a:solidFill>
                <a:ln w="31750">
                  <a:solidFill>
                    <a:srgbClr val="FFE1CC"/>
                  </a:solidFill>
                  <a:prstDash val="solid"/>
                </a:ln>
                <a:effectLst/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1F-4BC2-87D5-4A698D747F05}"/>
              </c:ext>
            </c:extLst>
          </c:dPt>
          <c:dLbls>
            <c:dLbl>
              <c:idx val="6"/>
              <c:layout>
                <c:manualLayout>
                  <c:x val="-6.2567173507878202E-2"/>
                  <c:y val="6.6915937338971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1F-4BC2-87D5-4A698D747F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2'!$A$4:$A$12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'Analysis 2'!$C$4:$C$12</c:f>
              <c:numCache>
                <c:formatCode>0.00%</c:formatCode>
                <c:ptCount val="8"/>
                <c:pt idx="1">
                  <c:v>3.3281733746129902E-2</c:v>
                </c:pt>
                <c:pt idx="2">
                  <c:v>3.9513108614232476E-2</c:v>
                </c:pt>
                <c:pt idx="3">
                  <c:v>3.8961038961039161E-2</c:v>
                </c:pt>
                <c:pt idx="4">
                  <c:v>6.3795712484236794E-2</c:v>
                </c:pt>
                <c:pt idx="5">
                  <c:v>5.2668752988220886E-2</c:v>
                </c:pt>
                <c:pt idx="6">
                  <c:v>6.6219354838709665E-2</c:v>
                </c:pt>
                <c:pt idx="7">
                  <c:v>3.1774615161196632E-2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EA-4503-8A90-F65B708C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59744"/>
        <c:axId val="56046784"/>
      </c:lineChart>
      <c:catAx>
        <c:axId val="205877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768656"/>
        <c:crosses val="autoZero"/>
        <c:auto val="1"/>
        <c:lblAlgn val="ctr"/>
        <c:lblOffset val="100"/>
        <c:noMultiLvlLbl val="0"/>
      </c:catAx>
      <c:valAx>
        <c:axId val="20587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770096"/>
        <c:crosses val="autoZero"/>
        <c:crossBetween val="between"/>
      </c:valAx>
      <c:valAx>
        <c:axId val="56046784"/>
        <c:scaling>
          <c:orientation val="minMax"/>
          <c:max val="0.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9744"/>
        <c:crosses val="max"/>
        <c:crossBetween val="between"/>
      </c:valAx>
      <c:catAx>
        <c:axId val="56059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046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Categories Contributed to 2022 Inflation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026-40A7-8C76-CE1BADF62EBF}"/>
              </c:ext>
            </c:extLst>
          </c:dPt>
          <c:dPt>
            <c:idx val="1"/>
            <c:invertIfNegative val="0"/>
            <c:bubble3D val="0"/>
            <c:spPr>
              <a:solidFill>
                <a:srgbClr val="C221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26-40A7-8C76-CE1BADF62EBF}"/>
              </c:ext>
            </c:extLst>
          </c:dPt>
          <c:dPt>
            <c:idx val="2"/>
            <c:invertIfNegative val="0"/>
            <c:bubble3D val="0"/>
            <c:spPr>
              <a:solidFill>
                <a:srgbClr val="F28E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26-40A7-8C76-CE1BADF62EBF}"/>
              </c:ext>
            </c:extLst>
          </c:dPt>
          <c:dPt>
            <c:idx val="3"/>
            <c:invertIfNegative val="0"/>
            <c:bubble3D val="0"/>
            <c:spPr>
              <a:solidFill>
                <a:srgbClr val="F7B4A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26-40A7-8C76-CE1BADF62EBF}"/>
              </c:ext>
            </c:extLst>
          </c:dPt>
          <c:dPt>
            <c:idx val="4"/>
            <c:invertIfNegative val="0"/>
            <c:bubble3D val="0"/>
            <c:spPr>
              <a:solidFill>
                <a:srgbClr val="FBDA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026-40A7-8C76-CE1BADF62EBF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26-40A7-8C76-CE1BADF62EBF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026-40A7-8C76-CE1BADF62EBF}"/>
              </c:ext>
            </c:extLst>
          </c:dPt>
          <c:dPt>
            <c:idx val="7"/>
            <c:invertIfNegative val="0"/>
            <c:bubble3D val="0"/>
            <c:spPr>
              <a:solidFill>
                <a:srgbClr val="FEF2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26-40A7-8C76-CE1BADF62EBF}"/>
              </c:ext>
            </c:extLst>
          </c:dPt>
          <c:dPt>
            <c:idx val="8"/>
            <c:invertIfNegative val="0"/>
            <c:bubble3D val="0"/>
            <c:spPr>
              <a:solidFill>
                <a:srgbClr val="FEF2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026-40A7-8C76-CE1BADF62EBF}"/>
              </c:ext>
            </c:extLst>
          </c:dPt>
          <c:dPt>
            <c:idx val="9"/>
            <c:invertIfNegative val="0"/>
            <c:bubble3D val="0"/>
            <c:spPr>
              <a:solidFill>
                <a:srgbClr val="FEF2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484-4802-A998-67CA85B15703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>
                <a:solidFill>
                  <a:srgbClr val="D9E7F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84-4802-A998-67CA85B15703}"/>
              </c:ext>
            </c:extLst>
          </c:dPt>
          <c:dPt>
            <c:idx val="11"/>
            <c:invertIfNegative val="0"/>
            <c:bubble3D val="0"/>
            <c:spPr>
              <a:solidFill>
                <a:srgbClr val="0D5A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852-4CF5-BCEB-5DA9A031C05E}"/>
              </c:ext>
            </c:extLst>
          </c:dPt>
          <c:dPt>
            <c:idx val="12"/>
            <c:invertIfNegative val="0"/>
            <c:bubble3D val="0"/>
            <c:spPr>
              <a:solidFill>
                <a:srgbClr val="0D5A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52-4CF5-BCEB-5DA9A031C05E}"/>
              </c:ext>
            </c:extLst>
          </c:dPt>
          <c:dPt>
            <c:idx val="13"/>
            <c:invertIfNegative val="0"/>
            <c:bubble3D val="0"/>
            <c:spPr>
              <a:solidFill>
                <a:srgbClr val="8CB5F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52-4CF5-BCEB-5DA9A031C05E}"/>
              </c:ext>
            </c:extLst>
          </c:dPt>
          <c:dPt>
            <c:idx val="14"/>
            <c:invertIfNegative val="0"/>
            <c:bubble3D val="0"/>
            <c:spPr>
              <a:solidFill>
                <a:srgbClr val="8CB5F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52-4CF5-BCEB-5DA9A031C05E}"/>
              </c:ext>
            </c:extLst>
          </c:dPt>
          <c:dPt>
            <c:idx val="15"/>
            <c:invertIfNegative val="0"/>
            <c:bubble3D val="0"/>
            <c:spPr>
              <a:solidFill>
                <a:srgbClr val="8CB5F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52-4CF5-BCEB-5DA9A031C05E}"/>
              </c:ext>
            </c:extLst>
          </c:dPt>
          <c:dPt>
            <c:idx val="16"/>
            <c:invertIfNegative val="0"/>
            <c:bubble3D val="0"/>
            <c:spPr>
              <a:solidFill>
                <a:srgbClr val="8CB5F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52-4CF5-BCEB-5DA9A031C05E}"/>
              </c:ext>
            </c:extLst>
          </c:dPt>
          <c:dPt>
            <c:idx val="17"/>
            <c:invertIfNegative val="0"/>
            <c:bubble3D val="0"/>
            <c:spPr>
              <a:solidFill>
                <a:srgbClr val="B3C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52-4CF5-BCEB-5DA9A031C05E}"/>
              </c:ext>
            </c:extLst>
          </c:dPt>
          <c:dPt>
            <c:idx val="18"/>
            <c:invertIfNegative val="0"/>
            <c:bubble3D val="0"/>
            <c:spPr>
              <a:solidFill>
                <a:srgbClr val="B3C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52-4CF5-BCEB-5DA9A031C05E}"/>
              </c:ext>
            </c:extLst>
          </c:dPt>
          <c:dPt>
            <c:idx val="19"/>
            <c:invertIfNegative val="0"/>
            <c:bubble3D val="0"/>
            <c:spPr>
              <a:solidFill>
                <a:srgbClr val="B3C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52-4CF5-BCEB-5DA9A031C05E}"/>
              </c:ext>
            </c:extLst>
          </c:dPt>
          <c:dPt>
            <c:idx val="20"/>
            <c:invertIfNegative val="0"/>
            <c:bubble3D val="0"/>
            <c:spPr>
              <a:solidFill>
                <a:srgbClr val="B3C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52-4CF5-BCEB-5DA9A031C05E}"/>
              </c:ext>
            </c:extLst>
          </c:dPt>
          <c:dPt>
            <c:idx val="21"/>
            <c:invertIfNegative val="0"/>
            <c:bubble3D val="0"/>
            <c:spPr>
              <a:solidFill>
                <a:srgbClr val="D9E7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852-4CF5-BCEB-5DA9A031C05E}"/>
              </c:ext>
            </c:extLst>
          </c:dPt>
          <c:dPt>
            <c:idx val="22"/>
            <c:invertIfNegative val="0"/>
            <c:bubble3D val="0"/>
            <c:spPr>
              <a:solidFill>
                <a:srgbClr val="D9E7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852-4CF5-BCEB-5DA9A031C05E}"/>
              </c:ext>
            </c:extLst>
          </c:dPt>
          <c:dPt>
            <c:idx val="23"/>
            <c:invertIfNegative val="0"/>
            <c:bubble3D val="0"/>
            <c:spPr>
              <a:solidFill>
                <a:srgbClr val="D9E7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52-4CF5-BCEB-5DA9A031C05E}"/>
              </c:ext>
            </c:extLst>
          </c:dPt>
          <c:dPt>
            <c:idx val="24"/>
            <c:invertIfNegative val="0"/>
            <c:bubble3D val="0"/>
            <c:spPr>
              <a:solidFill>
                <a:srgbClr val="D9E7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852-4CF5-BCEB-5DA9A031C05E}"/>
              </c:ext>
            </c:extLst>
          </c:dPt>
          <c:dPt>
            <c:idx val="25"/>
            <c:invertIfNegative val="0"/>
            <c:bubble3D val="0"/>
            <c:spPr>
              <a:solidFill>
                <a:srgbClr val="D9E7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852-4CF5-BCEB-5DA9A031C05E}"/>
              </c:ext>
            </c:extLst>
          </c:dPt>
          <c:dPt>
            <c:idx val="2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C2AF-464E-BC75-688E5ABA10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2'!$Y$49:$Y$75</c:f>
              <c:strCache>
                <c:ptCount val="27"/>
                <c:pt idx="0">
                  <c:v>Food - Spices</c:v>
                </c:pt>
                <c:pt idx="1">
                  <c:v>CF Footwear</c:v>
                </c:pt>
                <c:pt idx="2">
                  <c:v>HH -Fuel and light</c:v>
                </c:pt>
                <c:pt idx="3">
                  <c:v>CF Clothing and footwear</c:v>
                </c:pt>
                <c:pt idx="4">
                  <c:v>CF Clothing</c:v>
                </c:pt>
                <c:pt idx="5">
                  <c:v>Food - Oils and fats</c:v>
                </c:pt>
                <c:pt idx="6">
                  <c:v>Food - Cereals and products</c:v>
                </c:pt>
                <c:pt idx="7">
                  <c:v>HH - Household goods and services</c:v>
                </c:pt>
                <c:pt idx="8">
                  <c:v>Food - Prepared meals, snacks, sweets etc.</c:v>
                </c:pt>
                <c:pt idx="9">
                  <c:v>Misc - Transport and communication</c:v>
                </c:pt>
                <c:pt idx="10">
                  <c:v>Misc - Personal care and effects</c:v>
                </c:pt>
                <c:pt idx="11">
                  <c:v>Food - Food and beverages</c:v>
                </c:pt>
                <c:pt idx="12">
                  <c:v>Misc - General index</c:v>
                </c:pt>
                <c:pt idx="13">
                  <c:v>Misc - Recreation and amusement</c:v>
                </c:pt>
                <c:pt idx="14">
                  <c:v>Misc - Miscellaneous</c:v>
                </c:pt>
                <c:pt idx="15">
                  <c:v>Food - Vegetables</c:v>
                </c:pt>
                <c:pt idx="16">
                  <c:v>Food - Milk and products</c:v>
                </c:pt>
                <c:pt idx="17">
                  <c:v>Misc - Health</c:v>
                </c:pt>
                <c:pt idx="18">
                  <c:v>Food - Meat and fish</c:v>
                </c:pt>
                <c:pt idx="19">
                  <c:v>Food - Non-alcoholic beverages</c:v>
                </c:pt>
                <c:pt idx="20">
                  <c:v>Misc - Education</c:v>
                </c:pt>
                <c:pt idx="21">
                  <c:v>Food - Fruits</c:v>
                </c:pt>
                <c:pt idx="22">
                  <c:v>HH - Housing</c:v>
                </c:pt>
                <c:pt idx="23">
                  <c:v>Food - Sugar and Confectionery</c:v>
                </c:pt>
                <c:pt idx="24">
                  <c:v>Misc - Pan, tobacco and intoxicants</c:v>
                </c:pt>
                <c:pt idx="25">
                  <c:v>Food - Pulses and products</c:v>
                </c:pt>
                <c:pt idx="26">
                  <c:v>Food - Egg</c:v>
                </c:pt>
              </c:strCache>
            </c:strRef>
          </c:cat>
          <c:val>
            <c:numRef>
              <c:f>'Analysis 2'!$Z$49:$Z$75</c:f>
              <c:numCache>
                <c:formatCode>0.00%</c:formatCode>
                <c:ptCount val="27"/>
                <c:pt idx="0">
                  <c:v>0.1286610878661088</c:v>
                </c:pt>
                <c:pt idx="1">
                  <c:v>0.11443248264932521</c:v>
                </c:pt>
                <c:pt idx="2">
                  <c:v>0.10106355110808396</c:v>
                </c:pt>
                <c:pt idx="3">
                  <c:v>9.5657581096486269E-2</c:v>
                </c:pt>
                <c:pt idx="4">
                  <c:v>9.2725778280078025E-2</c:v>
                </c:pt>
                <c:pt idx="5">
                  <c:v>8.2254736447195359E-2</c:v>
                </c:pt>
                <c:pt idx="6">
                  <c:v>8.0022798518096447E-2</c:v>
                </c:pt>
                <c:pt idx="7">
                  <c:v>7.4378389989796401E-2</c:v>
                </c:pt>
                <c:pt idx="8">
                  <c:v>7.2437733650531647E-2</c:v>
                </c:pt>
                <c:pt idx="9">
                  <c:v>6.9961808822715438E-2</c:v>
                </c:pt>
                <c:pt idx="10">
                  <c:v>6.803506745760958E-2</c:v>
                </c:pt>
                <c:pt idx="11">
                  <c:v>6.624008190427455E-2</c:v>
                </c:pt>
                <c:pt idx="12">
                  <c:v>6.6219354838709665E-2</c:v>
                </c:pt>
                <c:pt idx="13">
                  <c:v>6.4856469580119799E-2</c:v>
                </c:pt>
                <c:pt idx="14">
                  <c:v>6.4558769100618502E-2</c:v>
                </c:pt>
                <c:pt idx="15">
                  <c:v>6.2108715094902227E-2</c:v>
                </c:pt>
                <c:pt idx="16">
                  <c:v>6.1371841155234787E-2</c:v>
                </c:pt>
                <c:pt idx="17">
                  <c:v>6.0800964775639302E-2</c:v>
                </c:pt>
                <c:pt idx="18">
                  <c:v>5.3199949771880493E-2</c:v>
                </c:pt>
                <c:pt idx="19">
                  <c:v>4.9684583702622361E-2</c:v>
                </c:pt>
                <c:pt idx="20">
                  <c:v>4.754806209519899E-2</c:v>
                </c:pt>
                <c:pt idx="21">
                  <c:v>4.1697455927372597E-2</c:v>
                </c:pt>
                <c:pt idx="22">
                  <c:v>4.0664671276705339E-2</c:v>
                </c:pt>
                <c:pt idx="23">
                  <c:v>3.0238197118813526E-2</c:v>
                </c:pt>
                <c:pt idx="24">
                  <c:v>2.1505376344085992E-2</c:v>
                </c:pt>
                <c:pt idx="25">
                  <c:v>1.9242547978766924E-2</c:v>
                </c:pt>
                <c:pt idx="26">
                  <c:v>1.6398977475525296E-3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8-4F0D-BE40-69CEA122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98794248"/>
        <c:axId val="798796296"/>
      </c:barChart>
      <c:catAx>
        <c:axId val="798794248"/>
        <c:scaling>
          <c:orientation val="maxMin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96296"/>
        <c:crosses val="autoZero"/>
        <c:auto val="1"/>
        <c:lblAlgn val="ctr"/>
        <c:lblOffset val="100"/>
        <c:noMultiLvlLbl val="0"/>
      </c:catAx>
      <c:valAx>
        <c:axId val="79879629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798794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'Analysis 2'!$AP$46</c:f>
              <c:strCache>
                <c:ptCount val="1"/>
                <c:pt idx="0">
                  <c:v>General_index</c:v>
                </c:pt>
              </c:strCache>
            </c:strRef>
          </c:tx>
          <c:spPr>
            <a:solidFill>
              <a:srgbClr val="8CB5F9"/>
            </a:solidFill>
            <a:ln>
              <a:noFill/>
            </a:ln>
            <a:effectLst/>
          </c:spPr>
          <c:invertIfNegative val="0"/>
          <c:cat>
            <c:numRef>
              <c:f>'Analysis 2'!$AO$48:$AO$54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2'!$AP$48:$AP$54</c:f>
              <c:numCache>
                <c:formatCode>0.0</c:formatCode>
                <c:ptCount val="7"/>
                <c:pt idx="0">
                  <c:v>133.49999999999997</c:v>
                </c:pt>
                <c:pt idx="1">
                  <c:v>138.77500000000001</c:v>
                </c:pt>
                <c:pt idx="2">
                  <c:v>144.18181818181822</c:v>
                </c:pt>
                <c:pt idx="3">
                  <c:v>153.38</c:v>
                </c:pt>
                <c:pt idx="4">
                  <c:v>161.45833333333331</c:v>
                </c:pt>
                <c:pt idx="5">
                  <c:v>172.14999999999998</c:v>
                </c:pt>
                <c:pt idx="6">
                  <c:v>177.61999999999998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BE-41AE-B7CC-860F0263F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7579399"/>
        <c:axId val="1907581447"/>
      </c:barChart>
      <c:lineChart>
        <c:grouping val="standard"/>
        <c:varyColors val="0"/>
        <c:ser>
          <c:idx val="2"/>
          <c:order val="1"/>
          <c:tx>
            <c:strRef>
              <c:f>'Analysis 2'!$AQ$46</c:f>
              <c:strCache>
                <c:ptCount val="1"/>
                <c:pt idx="0">
                  <c:v>% diff from Prev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19050">
                <a:solidFill>
                  <a:srgbClr val="7D5F02"/>
                </a:solidFill>
                <a:prstDash val="solid"/>
              </a:ln>
              <a:effectLst/>
            </c:spPr>
          </c:marker>
          <c:dPt>
            <c:idx val="5"/>
            <c:marker>
              <c:symbol val="circle"/>
              <c:size val="10"/>
              <c:spPr>
                <a:solidFill>
                  <a:srgbClr val="FF0000"/>
                </a:solidFill>
                <a:ln w="19050">
                  <a:solidFill>
                    <a:srgbClr val="7D5F0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8A8-4E4B-B26A-9A7F892C4E94}"/>
              </c:ext>
            </c:extLst>
          </c:dPt>
          <c:cat>
            <c:numRef>
              <c:f>'Analysis 2'!$AO$48:$AO$54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2'!$AQ$48:$AQ$54</c:f>
              <c:numCache>
                <c:formatCode>0.00%</c:formatCode>
                <c:ptCount val="7"/>
                <c:pt idx="0">
                  <c:v>3.3281733746129902E-2</c:v>
                </c:pt>
                <c:pt idx="1">
                  <c:v>3.9513108614232476E-2</c:v>
                </c:pt>
                <c:pt idx="2">
                  <c:v>3.8961038961039161E-2</c:v>
                </c:pt>
                <c:pt idx="3">
                  <c:v>6.3795712484236794E-2</c:v>
                </c:pt>
                <c:pt idx="4">
                  <c:v>5.2668752988220886E-2</c:v>
                </c:pt>
                <c:pt idx="5">
                  <c:v>6.6219354838709665E-2</c:v>
                </c:pt>
                <c:pt idx="6">
                  <c:v>3.1774615161196632E-2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BE-41AE-B7CC-860F0263F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508872"/>
        <c:axId val="1361497608"/>
      </c:lineChart>
      <c:catAx>
        <c:axId val="190757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81447"/>
        <c:crosses val="autoZero"/>
        <c:auto val="1"/>
        <c:lblAlgn val="ctr"/>
        <c:lblOffset val="100"/>
        <c:noMultiLvlLbl val="0"/>
      </c:catAx>
      <c:valAx>
        <c:axId val="190758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79399"/>
        <c:crosses val="autoZero"/>
        <c:crossBetween val="between"/>
      </c:valAx>
      <c:valAx>
        <c:axId val="1361497608"/>
        <c:scaling>
          <c:orientation val="minMax"/>
          <c:max val="0.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08872"/>
        <c:crosses val="max"/>
        <c:crossBetween val="between"/>
      </c:valAx>
      <c:catAx>
        <c:axId val="1361508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1497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that contributed to 2020 Infaltion</a:t>
            </a:r>
          </a:p>
        </c:rich>
      </c:tx>
      <c:layout>
        <c:manualLayout>
          <c:xMode val="edge"/>
          <c:yMode val="edge"/>
          <c:x val="0.13800925941622033"/>
          <c:y val="2.9040481104995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2'!$Y$83:$Y$87</c:f>
              <c:strCache>
                <c:ptCount val="5"/>
                <c:pt idx="0">
                  <c:v>Food - Spices</c:v>
                </c:pt>
                <c:pt idx="1">
                  <c:v>CF Footwear</c:v>
                </c:pt>
                <c:pt idx="2">
                  <c:v>HH -Fuel and light</c:v>
                </c:pt>
                <c:pt idx="3">
                  <c:v>CF Clothing</c:v>
                </c:pt>
                <c:pt idx="4">
                  <c:v>Food - Oils and fats</c:v>
                </c:pt>
              </c:strCache>
            </c:strRef>
          </c:cat>
          <c:val>
            <c:numRef>
              <c:f>'Analysis 2'!$Z$83:$Z$87</c:f>
              <c:numCache>
                <c:formatCode>0.00%</c:formatCode>
                <c:ptCount val="5"/>
                <c:pt idx="0">
                  <c:v>0.1286610878661088</c:v>
                </c:pt>
                <c:pt idx="1">
                  <c:v>0.11443248264932521</c:v>
                </c:pt>
                <c:pt idx="2">
                  <c:v>0.10106355110808396</c:v>
                </c:pt>
                <c:pt idx="3">
                  <c:v>9.2725778280078025E-2</c:v>
                </c:pt>
                <c:pt idx="4">
                  <c:v>8.2254736447195359E-2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{"2020"}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C35-455F-B239-CFF5143A7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901318151"/>
        <c:axId val="1901320199"/>
      </c:barChart>
      <c:catAx>
        <c:axId val="19013181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20199"/>
        <c:crosses val="autoZero"/>
        <c:auto val="1"/>
        <c:lblAlgn val="ctr"/>
        <c:lblOffset val="100"/>
        <c:noMultiLvlLbl val="0"/>
      </c:catAx>
      <c:valAx>
        <c:axId val="1901320199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high"/>
        <c:crossAx val="1901318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2020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'Analysis 2'!$O$83:$O$87</c:f>
              <c:strCache>
                <c:ptCount val="5"/>
                <c:pt idx="0">
                  <c:v>Food - Pulses and products</c:v>
                </c:pt>
                <c:pt idx="1">
                  <c:v>Food - Meat and fish</c:v>
                </c:pt>
                <c:pt idx="2">
                  <c:v>Food - Vegetables</c:v>
                </c:pt>
                <c:pt idx="3">
                  <c:v>Food - Oils and fats</c:v>
                </c:pt>
                <c:pt idx="4">
                  <c:v>Misc - Personal care and effects</c:v>
                </c:pt>
              </c:strCache>
            </c:strRef>
          </c:cat>
          <c:val>
            <c:numRef>
              <c:f>'Analysis 2'!$P$83:$P$87</c:f>
              <c:numCache>
                <c:formatCode>0.00%</c:formatCode>
                <c:ptCount val="5"/>
                <c:pt idx="0">
                  <c:v>0.16081396170423251</c:v>
                </c:pt>
                <c:pt idx="1">
                  <c:v>0.15398503113751927</c:v>
                </c:pt>
                <c:pt idx="2">
                  <c:v>0.1383714445064137</c:v>
                </c:pt>
                <c:pt idx="3">
                  <c:v>0.11265523358959199</c:v>
                </c:pt>
                <c:pt idx="4">
                  <c:v>0.11120133111480884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8-4C1A-B843-E613A266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343879"/>
        <c:axId val="2003522055"/>
      </c:barChart>
      <c:catAx>
        <c:axId val="1251343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22055"/>
        <c:crosses val="autoZero"/>
        <c:auto val="1"/>
        <c:lblAlgn val="ctr"/>
        <c:lblOffset val="100"/>
        <c:noMultiLvlLbl val="0"/>
      </c:catAx>
      <c:valAx>
        <c:axId val="2003522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4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'Analysis 3'!$C$44</c:f>
              <c:strCache>
                <c:ptCount val="1"/>
                <c:pt idx="0">
                  <c:v>% Change in F&amp;B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3'!$A$46:$A$57</c:f>
              <c:numCache>
                <c:formatCode>[$-409]mmm\-yy;@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'Analysis 3'!$C$46:$C$57</c:f>
              <c:numCache>
                <c:formatCode>0.00%</c:formatCode>
                <c:ptCount val="12"/>
                <c:pt idx="0">
                  <c:v>1.0374708304225631E-2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1-41CE-A64C-EE3DDD80B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517320"/>
        <c:axId val="1877519368"/>
      </c:lineChart>
      <c:lineChart>
        <c:grouping val="standard"/>
        <c:varyColors val="0"/>
        <c:ser>
          <c:idx val="2"/>
          <c:order val="1"/>
          <c:tx>
            <c:strRef>
              <c:f>'Analysis 3'!$D$44</c:f>
              <c:strCache>
                <c:ptCount val="1"/>
                <c:pt idx="0">
                  <c:v>Absolute change in F&amp;B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'Analysis 3'!$A$46:$A$57</c:f>
              <c:numCache>
                <c:formatCode>[$-409]mmm\-yy;@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'Analysis 3'!$D$46:$D$57</c:f>
              <c:numCache>
                <c:formatCode>0.0</c:formatCode>
                <c:ptCount val="12"/>
                <c:pt idx="0">
                  <c:v>1.7897435897435798</c:v>
                </c:pt>
                <c:pt idx="1">
                  <c:v>0.32564102564103337</c:v>
                </c:pt>
                <c:pt idx="2">
                  <c:v>0.21282051282051384</c:v>
                </c:pt>
                <c:pt idx="3">
                  <c:v>0.93333333333336554</c:v>
                </c:pt>
                <c:pt idx="4">
                  <c:v>1.2564102564102484</c:v>
                </c:pt>
                <c:pt idx="5">
                  <c:v>-0.13333333333332575</c:v>
                </c:pt>
                <c:pt idx="6">
                  <c:v>-1.0923076923077133</c:v>
                </c:pt>
                <c:pt idx="7">
                  <c:v>0.76410256410258626</c:v>
                </c:pt>
                <c:pt idx="8">
                  <c:v>-0.97692307692312852</c:v>
                </c:pt>
                <c:pt idx="9">
                  <c:v>1.0256410256431536E-2</c:v>
                </c:pt>
                <c:pt idx="10">
                  <c:v>0.84871794871793327</c:v>
                </c:pt>
                <c:pt idx="11">
                  <c:v>1.312820512820565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21-41CE-A64C-EE3DDD80B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759240"/>
        <c:axId val="1457747976"/>
      </c:lineChart>
      <c:dateAx>
        <c:axId val="187751732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9368"/>
        <c:crosses val="autoZero"/>
        <c:auto val="1"/>
        <c:lblOffset val="100"/>
        <c:baseTimeUnit val="months"/>
      </c:dateAx>
      <c:valAx>
        <c:axId val="1877519368"/>
        <c:scaling>
          <c:orientation val="minMax"/>
          <c:max val="0.02"/>
          <c:min val="-1.499999999999999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517320"/>
        <c:crosses val="autoZero"/>
        <c:crossBetween val="between"/>
      </c:valAx>
      <c:valAx>
        <c:axId val="145774797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759240"/>
        <c:crosses val="max"/>
        <c:crossBetween val="between"/>
      </c:valAx>
      <c:dateAx>
        <c:axId val="1457759240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4577479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4A8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EF-44BA-95AB-9D944D3C0AEB}"/>
              </c:ext>
            </c:extLst>
          </c:dPt>
          <c:dPt>
            <c:idx val="1"/>
            <c:invertIfNegative val="0"/>
            <c:bubble3D val="0"/>
            <c:spPr>
              <a:solidFill>
                <a:srgbClr val="34A8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EF-44BA-95AB-9D944D3C0AEB}"/>
              </c:ext>
            </c:extLst>
          </c:dPt>
          <c:dPt>
            <c:idx val="12"/>
            <c:invertIfNegative val="0"/>
            <c:bubble3D val="0"/>
            <c:spPr>
              <a:solidFill>
                <a:srgbClr val="EA43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EF-44BA-95AB-9D944D3C0AEB}"/>
              </c:ext>
            </c:extLst>
          </c:dPt>
          <c:cat>
            <c:strRef>
              <c:f>'Analysis 3'!$J$45:$J$57</c:f>
              <c:strCache>
                <c:ptCount val="13"/>
                <c:pt idx="0">
                  <c:v>Oils and fats</c:v>
                </c:pt>
                <c:pt idx="1">
                  <c:v>Vegetables</c:v>
                </c:pt>
                <c:pt idx="2">
                  <c:v>Meat and fish</c:v>
                </c:pt>
                <c:pt idx="3">
                  <c:v>Fruits</c:v>
                </c:pt>
                <c:pt idx="4">
                  <c:v>Sugar and Confectionery</c:v>
                </c:pt>
                <c:pt idx="5">
                  <c:v>Food and beverages</c:v>
                </c:pt>
                <c:pt idx="6">
                  <c:v>Non-alcoholic beverages</c:v>
                </c:pt>
                <c:pt idx="7">
                  <c:v>Prepared meals, snacks, sweets etc.</c:v>
                </c:pt>
                <c:pt idx="8">
                  <c:v>Egg</c:v>
                </c:pt>
                <c:pt idx="9">
                  <c:v>Pulses and products</c:v>
                </c:pt>
                <c:pt idx="10">
                  <c:v>Milk and products</c:v>
                </c:pt>
                <c:pt idx="11">
                  <c:v>Cereals and products</c:v>
                </c:pt>
                <c:pt idx="12">
                  <c:v>Spices</c:v>
                </c:pt>
              </c:strCache>
            </c:strRef>
          </c:cat>
          <c:val>
            <c:numRef>
              <c:f>'Analysis 3'!$K$45:$K$57</c:f>
              <c:numCache>
                <c:formatCode>0.0%</c:formatCode>
                <c:ptCount val="13"/>
                <c:pt idx="0">
                  <c:v>-0.15636424061149887</c:v>
                </c:pt>
                <c:pt idx="1">
                  <c:v>-8.1337047353760419E-2</c:v>
                </c:pt>
                <c:pt idx="2">
                  <c:v>-1.1793536529330531E-2</c:v>
                </c:pt>
                <c:pt idx="3">
                  <c:v>6.815968841285408E-3</c:v>
                </c:pt>
                <c:pt idx="4">
                  <c:v>2.5013896609227346E-2</c:v>
                </c:pt>
                <c:pt idx="5">
                  <c:v>3.335889570552137E-2</c:v>
                </c:pt>
                <c:pt idx="6">
                  <c:v>3.8492381716118546E-2</c:v>
                </c:pt>
                <c:pt idx="7">
                  <c:v>6.425702811244989E-2</c:v>
                </c:pt>
                <c:pt idx="8">
                  <c:v>6.7636810821889728E-2</c:v>
                </c:pt>
                <c:pt idx="9">
                  <c:v>6.8043742405832261E-2</c:v>
                </c:pt>
                <c:pt idx="10">
                  <c:v>8.8098605778945224E-2</c:v>
                </c:pt>
                <c:pt idx="11">
                  <c:v>0.1248652145783913</c:v>
                </c:pt>
                <c:pt idx="12">
                  <c:v>0.17724724181588003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5-4154-BAFA-460F22F0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869383"/>
        <c:axId val="1280871431"/>
      </c:barChart>
      <c:catAx>
        <c:axId val="1280869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71431"/>
        <c:crosses val="autoZero"/>
        <c:auto val="1"/>
        <c:lblAlgn val="ctr"/>
        <c:lblOffset val="100"/>
        <c:noMultiLvlLbl val="0"/>
      </c:catAx>
      <c:valAx>
        <c:axId val="1280871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69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4'!$W$18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4'!$W$19:$W$21</c:f>
              <c:numCache>
                <c:formatCode>0.0%</c:formatCode>
                <c:ptCount val="3"/>
                <c:pt idx="0">
                  <c:v>9.6884553792400893E-2</c:v>
                </c:pt>
                <c:pt idx="1">
                  <c:v>7.1160086098885286E-2</c:v>
                </c:pt>
                <c:pt idx="2">
                  <c:v>4.2998721227621634E-2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DA-4618-9AAB-2CBA216D7F2E}"/>
            </c:ext>
          </c:extLst>
        </c:ser>
        <c:ser>
          <c:idx val="1"/>
          <c:order val="1"/>
          <c:tx>
            <c:strRef>
              <c:f>'Analysis 4'!$X$18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4'!$X$19:$X$21</c:f>
              <c:numCache>
                <c:formatCode>0.0%</c:formatCode>
                <c:ptCount val="3"/>
                <c:pt idx="0">
                  <c:v>5.8743016133013359E-2</c:v>
                </c:pt>
                <c:pt idx="1">
                  <c:v>3.6431204572929525E-2</c:v>
                </c:pt>
                <c:pt idx="2">
                  <c:v>2.9003205617463158E-2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DA-4618-9AAB-2CBA216D7F2E}"/>
            </c:ext>
          </c:extLst>
        </c:ser>
        <c:ser>
          <c:idx val="2"/>
          <c:order val="2"/>
          <c:tx>
            <c:strRef>
              <c:f>'Analysis 4'!$Y$18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4'!$Y$19:$Y$21</c:f>
              <c:numCache>
                <c:formatCode>0.0%</c:formatCode>
                <c:ptCount val="3"/>
                <c:pt idx="0">
                  <c:v>7.5313541158245401E-2</c:v>
                </c:pt>
                <c:pt idx="1">
                  <c:v>4.274081201798096E-2</c:v>
                </c:pt>
                <c:pt idx="2">
                  <c:v>3.8342427370594394E-2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DA-4618-9AAB-2CBA216D7F2E}"/>
            </c:ext>
          </c:extLst>
        </c:ser>
        <c:ser>
          <c:idx val="3"/>
          <c:order val="3"/>
          <c:tx>
            <c:strRef>
              <c:f>'Analysis 4'!$Z$18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4'!$Z$19:$Z$21</c:f>
              <c:numCache>
                <c:formatCode>0.0%</c:formatCode>
                <c:ptCount val="3"/>
                <c:pt idx="0">
                  <c:v>2.6833490714510615E-2</c:v>
                </c:pt>
                <c:pt idx="1">
                  <c:v>4.2388707329799886E-2</c:v>
                </c:pt>
                <c:pt idx="2">
                  <c:v>4.7444224795255403E-2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DA-4618-9AAB-2CBA216D7F2E}"/>
            </c:ext>
          </c:extLst>
        </c:ser>
        <c:ser>
          <c:idx val="4"/>
          <c:order val="4"/>
          <c:tx>
            <c:strRef>
              <c:f>'Analysis 4'!$AA$18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4'!$AA$19:$AA$21</c:f>
              <c:numCache>
                <c:formatCode>0.0%</c:formatCode>
                <c:ptCount val="3"/>
                <c:pt idx="0">
                  <c:v>3.8298118892193742E-2</c:v>
                </c:pt>
                <c:pt idx="1">
                  <c:v>4.773902317402829E-2</c:v>
                </c:pt>
                <c:pt idx="2">
                  <c:v>4.2713230355943564E-2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DA-4618-9AAB-2CBA216D7F2E}"/>
            </c:ext>
          </c:extLst>
        </c:ser>
        <c:ser>
          <c:idx val="5"/>
          <c:order val="5"/>
          <c:tx>
            <c:strRef>
              <c:f>'Analysis 4'!$AB$18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4'!$AB$19:$AB$21</c:f>
              <c:numCache>
                <c:formatCode>0.0%</c:formatCode>
                <c:ptCount val="3"/>
                <c:pt idx="0">
                  <c:v>-8.7072378914974848E-3</c:v>
                </c:pt>
                <c:pt idx="1">
                  <c:v>5.530741590977134E-2</c:v>
                </c:pt>
                <c:pt idx="2">
                  <c:v>6.1946902654867117E-2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DA-4618-9AAB-2CBA216D7F2E}"/>
            </c:ext>
          </c:extLst>
        </c:ser>
        <c:ser>
          <c:idx val="6"/>
          <c:order val="6"/>
          <c:tx>
            <c:strRef>
              <c:f>'Analysis 4'!$AC$18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4'!$AC$19:$AC$21</c:f>
              <c:numCache>
                <c:formatCode>0.0%</c:formatCode>
                <c:ptCount val="3"/>
                <c:pt idx="0">
                  <c:v>9.1434766895554603E-2</c:v>
                </c:pt>
                <c:pt idx="1">
                  <c:v>4.3505083700127033E-2</c:v>
                </c:pt>
                <c:pt idx="2">
                  <c:v>6.2733293196869391E-2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DA-4618-9AAB-2CBA216D7F2E}"/>
            </c:ext>
          </c:extLst>
        </c:ser>
        <c:ser>
          <c:idx val="7"/>
          <c:order val="7"/>
          <c:tx>
            <c:strRef>
              <c:f>'Analysis 4'!$AD$18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4'!$AD$19:$AD$21</c:f>
              <c:numCache>
                <c:formatCode>0.0%</c:formatCode>
                <c:ptCount val="3"/>
                <c:pt idx="0">
                  <c:v>0.15239518326448079</c:v>
                </c:pt>
                <c:pt idx="1">
                  <c:v>0.10147708307315031</c:v>
                </c:pt>
                <c:pt idx="2">
                  <c:v>0.1212904676258994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DA-4618-9AAB-2CBA216D7F2E}"/>
            </c:ext>
          </c:extLst>
        </c:ser>
        <c:ser>
          <c:idx val="8"/>
          <c:order val="8"/>
          <c:tx>
            <c:strRef>
              <c:f>'Analysis 4'!$AE$18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4'!$V$19:$V$21</c:f>
              <c:strCache>
                <c:ptCount val="3"/>
                <c:pt idx="0">
                  <c:v>F&amp;B</c:v>
                </c:pt>
                <c:pt idx="1">
                  <c:v>Ess</c:v>
                </c:pt>
                <c:pt idx="2">
                  <c:v>HC</c:v>
                </c:pt>
              </c:strCache>
            </c:strRef>
          </c:cat>
          <c:val>
            <c:numRef>
              <c:f>'Analysis 4'!$AE$19:$AE$21</c:f>
              <c:numCache>
                <c:formatCode>0.0%</c:formatCode>
                <c:ptCount val="3"/>
                <c:pt idx="0">
                  <c:v>5.4182874890450455E-2</c:v>
                </c:pt>
                <c:pt idx="1">
                  <c:v>6.495573767124671E-2</c:v>
                </c:pt>
                <c:pt idx="2">
                  <c:v>6.8018377946464384E-2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DA-4618-9AAB-2CBA216D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362789895"/>
        <c:axId val="1362801159"/>
      </c:barChart>
      <c:catAx>
        <c:axId val="136278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01159"/>
        <c:crosses val="autoZero"/>
        <c:auto val="1"/>
        <c:lblAlgn val="ctr"/>
        <c:lblOffset val="100"/>
        <c:noMultiLvlLbl val="0"/>
      </c:catAx>
      <c:valAx>
        <c:axId val="136280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927712160979882"/>
          <c:y val="0.16111119588216147"/>
          <c:w val="0.16405621172353455"/>
          <c:h val="0.6645636482939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'Analysis 4'!$O$18</c:f>
              <c:strCache>
                <c:ptCount val="1"/>
                <c:pt idx="0">
                  <c:v>F&amp;B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'Analysis 4'!$N$19:$N$27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Pre-Covid</c:v>
                </c:pt>
                <c:pt idx="7">
                  <c:v>Post-Covid</c:v>
                </c:pt>
                <c:pt idx="8">
                  <c:v>2022</c:v>
                </c:pt>
              </c:strCache>
            </c:strRef>
          </c:cat>
          <c:val>
            <c:numRef>
              <c:f>'Analysis 4'!$O$19:$O$27</c:f>
              <c:numCache>
                <c:formatCode>0.0%</c:formatCode>
                <c:ptCount val="9"/>
                <c:pt idx="0">
                  <c:v>9.6884553792400893E-2</c:v>
                </c:pt>
                <c:pt idx="1">
                  <c:v>5.8743016133013359E-2</c:v>
                </c:pt>
                <c:pt idx="2">
                  <c:v>7.5313541158245401E-2</c:v>
                </c:pt>
                <c:pt idx="3">
                  <c:v>2.6833490714510615E-2</c:v>
                </c:pt>
                <c:pt idx="4">
                  <c:v>3.8298118892193742E-2</c:v>
                </c:pt>
                <c:pt idx="5">
                  <c:v>-8.7072378914974848E-3</c:v>
                </c:pt>
                <c:pt idx="6">
                  <c:v>9.1434766895554603E-2</c:v>
                </c:pt>
                <c:pt idx="7">
                  <c:v>0.15239518326448079</c:v>
                </c:pt>
                <c:pt idx="8">
                  <c:v>5.4182874890450455E-2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D7-4382-9B6E-C087607F41B4}"/>
            </c:ext>
          </c:extLst>
        </c:ser>
        <c:ser>
          <c:idx val="2"/>
          <c:order val="1"/>
          <c:tx>
            <c:strRef>
              <c:f>'Analysis 4'!$P$18</c:f>
              <c:strCache>
                <c:ptCount val="1"/>
                <c:pt idx="0">
                  <c:v>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4'!$N$19:$N$27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Pre-Covid</c:v>
                </c:pt>
                <c:pt idx="7">
                  <c:v>Post-Covid</c:v>
                </c:pt>
                <c:pt idx="8">
                  <c:v>2022</c:v>
                </c:pt>
              </c:strCache>
            </c:strRef>
          </c:cat>
          <c:val>
            <c:numRef>
              <c:f>'Analysis 4'!$P$19:$P$27</c:f>
              <c:numCache>
                <c:formatCode>0.0%</c:formatCode>
                <c:ptCount val="9"/>
                <c:pt idx="0">
                  <c:v>7.1160086098885286E-2</c:v>
                </c:pt>
                <c:pt idx="1">
                  <c:v>3.6431204572929525E-2</c:v>
                </c:pt>
                <c:pt idx="2">
                  <c:v>4.274081201798096E-2</c:v>
                </c:pt>
                <c:pt idx="3">
                  <c:v>4.2388707329799886E-2</c:v>
                </c:pt>
                <c:pt idx="4">
                  <c:v>4.773902317402829E-2</c:v>
                </c:pt>
                <c:pt idx="5">
                  <c:v>5.530741590977134E-2</c:v>
                </c:pt>
                <c:pt idx="6">
                  <c:v>4.3505083700127033E-2</c:v>
                </c:pt>
                <c:pt idx="7">
                  <c:v>0.10147708307315031</c:v>
                </c:pt>
                <c:pt idx="8">
                  <c:v>6.495573767124671E-2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D7-4382-9B6E-C087607F41B4}"/>
            </c:ext>
          </c:extLst>
        </c:ser>
        <c:ser>
          <c:idx val="3"/>
          <c:order val="2"/>
          <c:tx>
            <c:strRef>
              <c:f>'Analysis 4'!$Q$18</c:f>
              <c:strCache>
                <c:ptCount val="1"/>
                <c:pt idx="0">
                  <c:v>HC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 4'!$N$19:$N$27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Pre-Covid</c:v>
                </c:pt>
                <c:pt idx="7">
                  <c:v>Post-Covid</c:v>
                </c:pt>
                <c:pt idx="8">
                  <c:v>2022</c:v>
                </c:pt>
              </c:strCache>
            </c:strRef>
          </c:cat>
          <c:val>
            <c:numRef>
              <c:f>'Analysis 4'!$Q$19:$Q$27</c:f>
              <c:numCache>
                <c:formatCode>0.0%</c:formatCode>
                <c:ptCount val="9"/>
                <c:pt idx="0">
                  <c:v>4.2998721227621634E-2</c:v>
                </c:pt>
                <c:pt idx="1">
                  <c:v>2.9003205617463158E-2</c:v>
                </c:pt>
                <c:pt idx="2">
                  <c:v>3.8342427370594394E-2</c:v>
                </c:pt>
                <c:pt idx="3">
                  <c:v>4.7444224795255403E-2</c:v>
                </c:pt>
                <c:pt idx="4">
                  <c:v>4.2713230355943564E-2</c:v>
                </c:pt>
                <c:pt idx="5">
                  <c:v>6.1946902654867117E-2</c:v>
                </c:pt>
                <c:pt idx="6">
                  <c:v>6.2733293196869391E-2</c:v>
                </c:pt>
                <c:pt idx="7">
                  <c:v>0.1212904676258994</c:v>
                </c:pt>
                <c:pt idx="8">
                  <c:v>6.8018377946464384E-2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D7-4382-9B6E-C087607F4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764935"/>
        <c:axId val="1368123399"/>
      </c:lineChart>
      <c:catAx>
        <c:axId val="132076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23399"/>
        <c:crosses val="autoZero"/>
        <c:auto val="1"/>
        <c:lblAlgn val="ctr"/>
        <c:lblOffset val="100"/>
        <c:noMultiLvlLbl val="0"/>
      </c:catAx>
      <c:valAx>
        <c:axId val="136812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6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4'!$V$19</c:f>
              <c:strCache>
                <c:ptCount val="1"/>
                <c:pt idx="0">
                  <c:v>F&amp;B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rgbClr val="81160E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4'!$AC$19:$AD$19</c:f>
              <c:numCache>
                <c:formatCode>0.0%</c:formatCode>
                <c:ptCount val="2"/>
                <c:pt idx="0">
                  <c:v>9.1434766895554603E-2</c:v>
                </c:pt>
                <c:pt idx="1">
                  <c:v>0.15239518326448079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8-488F-B628-D7BACF0FA78B}"/>
            </c:ext>
          </c:extLst>
        </c:ser>
        <c:ser>
          <c:idx val="1"/>
          <c:order val="1"/>
          <c:tx>
            <c:strRef>
              <c:f>'Analysis 4'!$V$20</c:f>
              <c:strCache>
                <c:ptCount val="1"/>
                <c:pt idx="0">
                  <c:v>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rgbClr val="277E4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4'!$AC$20:$AD$20</c:f>
              <c:numCache>
                <c:formatCode>0.0%</c:formatCode>
                <c:ptCount val="2"/>
                <c:pt idx="0">
                  <c:v>4.3505083700127033E-2</c:v>
                </c:pt>
                <c:pt idx="1">
                  <c:v>0.10147708307315031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38-488F-B628-D7BACF0FA78B}"/>
            </c:ext>
          </c:extLst>
        </c:ser>
        <c:ser>
          <c:idx val="2"/>
          <c:order val="2"/>
          <c:tx>
            <c:strRef>
              <c:f>'Analysis 4'!$V$21</c:f>
              <c:strCache>
                <c:ptCount val="1"/>
                <c:pt idx="0">
                  <c:v>HC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rgbClr val="8036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4'!$AC$18:$AD$18</c:f>
              <c:strCache>
                <c:ptCount val="2"/>
                <c:pt idx="0">
                  <c:v>Pre-Covid</c:v>
                </c:pt>
                <c:pt idx="1">
                  <c:v>Post-Covid</c:v>
                </c:pt>
              </c:strCache>
            </c:strRef>
          </c:cat>
          <c:val>
            <c:numRef>
              <c:f>'Analysis 4'!$AC$21:$AD$21</c:f>
              <c:numCache>
                <c:formatCode>0.0%</c:formatCode>
                <c:ptCount val="2"/>
                <c:pt idx="0">
                  <c:v>6.2733293196869391E-2</c:v>
                </c:pt>
                <c:pt idx="1">
                  <c:v>0.1212904676258994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38-488F-B628-D7BACF0FA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789895"/>
        <c:axId val="1362801159"/>
      </c:lineChart>
      <c:catAx>
        <c:axId val="1362789895"/>
        <c:scaling>
          <c:orientation val="minMax"/>
        </c:scaling>
        <c:delete val="0"/>
        <c:axPos val="b"/>
        <c:majorGridlines>
          <c:spPr>
            <a:ln w="28575" cap="flat" cmpd="sng" algn="ctr">
              <a:solidFill>
                <a:srgbClr val="BFBFBF"/>
              </a:solidFill>
              <a:prstDash val="lgDashDot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01159"/>
        <c:crosses val="autoZero"/>
        <c:auto val="1"/>
        <c:lblAlgn val="ctr"/>
        <c:lblOffset val="100"/>
        <c:noMultiLvlLbl val="0"/>
      </c:catAx>
      <c:valAx>
        <c:axId val="13628011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A43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contributing to 2020 Infaltion</a:t>
            </a:r>
          </a:p>
        </c:rich>
      </c:tx>
      <c:layout>
        <c:manualLayout>
          <c:xMode val="edge"/>
          <c:yMode val="edge"/>
          <c:x val="0.21925"/>
          <c:y val="2.8594706911636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A43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'Analysis 4'!$K$46:$K$50</c:f>
              <c:strCache>
                <c:ptCount val="5"/>
                <c:pt idx="0">
                  <c:v>FB Oils and fats</c:v>
                </c:pt>
                <c:pt idx="1">
                  <c:v>FB Non-alcoholic beverages</c:v>
                </c:pt>
                <c:pt idx="2">
                  <c:v>Ess Transport and communication</c:v>
                </c:pt>
                <c:pt idx="3">
                  <c:v>FB Meat and fish</c:v>
                </c:pt>
                <c:pt idx="4">
                  <c:v>FB Egg</c:v>
                </c:pt>
              </c:strCache>
            </c:strRef>
          </c:cat>
          <c:val>
            <c:numRef>
              <c:f>'Analysis 4'!$L$46:$L$50</c:f>
              <c:numCache>
                <c:formatCode>0%</c:formatCode>
                <c:ptCount val="5"/>
                <c:pt idx="0">
                  <c:v>0.41885350318471343</c:v>
                </c:pt>
                <c:pt idx="1">
                  <c:v>0.20166625827003187</c:v>
                </c:pt>
                <c:pt idx="2">
                  <c:v>0.19438058748403581</c:v>
                </c:pt>
                <c:pt idx="3">
                  <c:v>0.18981297254277762</c:v>
                </c:pt>
                <c:pt idx="4">
                  <c:v>0.17244405440982902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C-4009-9CAC-20AA345CC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95602184"/>
        <c:axId val="696348679"/>
      </c:barChart>
      <c:catAx>
        <c:axId val="10956021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48679"/>
        <c:crosses val="autoZero"/>
        <c:auto val="1"/>
        <c:lblAlgn val="ctr"/>
        <c:lblOffset val="100"/>
        <c:noMultiLvlLbl val="0"/>
      </c:catAx>
      <c:valAx>
        <c:axId val="6963486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60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5'!$D$111</c:f>
              <c:strCache>
                <c:ptCount val="1"/>
                <c:pt idx="0">
                  <c:v>Co-Relation wit Crude 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5'!$C$112:$C$138</c:f>
              <c:strCache>
                <c:ptCount val="27"/>
                <c:pt idx="0">
                  <c:v>Food - Oils and fats</c:v>
                </c:pt>
                <c:pt idx="1">
                  <c:v>Food - Meat and fish</c:v>
                </c:pt>
                <c:pt idx="2">
                  <c:v>Food - Non-alcoholic beverages</c:v>
                </c:pt>
                <c:pt idx="3">
                  <c:v>Misc - General index</c:v>
                </c:pt>
                <c:pt idx="4">
                  <c:v>Misc - Recreation and amusement</c:v>
                </c:pt>
                <c:pt idx="5">
                  <c:v>Food - Food and beverages</c:v>
                </c:pt>
                <c:pt idx="6">
                  <c:v>Misc - Pan, tobacco and intoxicants</c:v>
                </c:pt>
                <c:pt idx="7">
                  <c:v>HH -Fuel and light</c:v>
                </c:pt>
                <c:pt idx="8">
                  <c:v>CF Footwear</c:v>
                </c:pt>
                <c:pt idx="9">
                  <c:v>Food - Prepared meals, snacks, sweets etc.</c:v>
                </c:pt>
                <c:pt idx="10">
                  <c:v>CF Clothing and footwear</c:v>
                </c:pt>
                <c:pt idx="11">
                  <c:v>Misc - Miscellaneous</c:v>
                </c:pt>
                <c:pt idx="12">
                  <c:v>Misc - Health</c:v>
                </c:pt>
                <c:pt idx="13">
                  <c:v>CF Clothing</c:v>
                </c:pt>
                <c:pt idx="14">
                  <c:v>Misc - Transport and communication</c:v>
                </c:pt>
                <c:pt idx="15">
                  <c:v>Food - Vegetables</c:v>
                </c:pt>
                <c:pt idx="16">
                  <c:v>Food - Fruits</c:v>
                </c:pt>
                <c:pt idx="17">
                  <c:v>HH - Housing</c:v>
                </c:pt>
                <c:pt idx="18">
                  <c:v>Misc - Personal care and effects</c:v>
                </c:pt>
                <c:pt idx="19">
                  <c:v>HH - Household goods and services</c:v>
                </c:pt>
                <c:pt idx="20">
                  <c:v>Misc - Education</c:v>
                </c:pt>
                <c:pt idx="21">
                  <c:v>Food - Sugar and Confectionery</c:v>
                </c:pt>
                <c:pt idx="22">
                  <c:v>Food - Pulses and products</c:v>
                </c:pt>
                <c:pt idx="23">
                  <c:v>Food - Spices</c:v>
                </c:pt>
                <c:pt idx="24">
                  <c:v>Food - Milk and products</c:v>
                </c:pt>
                <c:pt idx="25">
                  <c:v>Food - Egg</c:v>
                </c:pt>
                <c:pt idx="26">
                  <c:v>Food - Cereals and products</c:v>
                </c:pt>
              </c:strCache>
            </c:strRef>
          </c:cat>
          <c:val>
            <c:numRef>
              <c:f>'Analysis 5'!$D$112:$D$138</c:f>
              <c:numCache>
                <c:formatCode>0.00</c:formatCode>
                <c:ptCount val="27"/>
                <c:pt idx="0">
                  <c:v>0.49521092132696182</c:v>
                </c:pt>
                <c:pt idx="1">
                  <c:v>0.44568018115426916</c:v>
                </c:pt>
                <c:pt idx="2">
                  <c:v>0.28081629500921551</c:v>
                </c:pt>
                <c:pt idx="3">
                  <c:v>0.23429305844482645</c:v>
                </c:pt>
                <c:pt idx="4">
                  <c:v>0.21919400826410637</c:v>
                </c:pt>
                <c:pt idx="5">
                  <c:v>0.21342461591183207</c:v>
                </c:pt>
                <c:pt idx="6">
                  <c:v>0.20631531984123422</c:v>
                </c:pt>
                <c:pt idx="7">
                  <c:v>0.19442062730956886</c:v>
                </c:pt>
                <c:pt idx="8">
                  <c:v>0.1661027232888814</c:v>
                </c:pt>
                <c:pt idx="9">
                  <c:v>0.16196462792204094</c:v>
                </c:pt>
                <c:pt idx="10">
                  <c:v>0.13987146898586433</c:v>
                </c:pt>
                <c:pt idx="11">
                  <c:v>0.13397202634750632</c:v>
                </c:pt>
                <c:pt idx="12">
                  <c:v>0.13205009744677337</c:v>
                </c:pt>
                <c:pt idx="13">
                  <c:v>0.12855493436217133</c:v>
                </c:pt>
                <c:pt idx="14">
                  <c:v>0.12408099044160607</c:v>
                </c:pt>
                <c:pt idx="15">
                  <c:v>0.12011494885461682</c:v>
                </c:pt>
                <c:pt idx="16">
                  <c:v>9.1157786511261704E-2</c:v>
                </c:pt>
                <c:pt idx="17">
                  <c:v>8.9549687985189377E-2</c:v>
                </c:pt>
                <c:pt idx="18">
                  <c:v>3.3358155631668114E-2</c:v>
                </c:pt>
                <c:pt idx="19">
                  <c:v>2.1766254353444661E-2</c:v>
                </c:pt>
                <c:pt idx="20">
                  <c:v>-4.9266888958167457E-2</c:v>
                </c:pt>
                <c:pt idx="21">
                  <c:v>-9.6307317489000899E-2</c:v>
                </c:pt>
                <c:pt idx="22">
                  <c:v>-0.15360854616105721</c:v>
                </c:pt>
                <c:pt idx="23">
                  <c:v>-0.18971443064396271</c:v>
                </c:pt>
                <c:pt idx="24">
                  <c:v>-0.20585723918586332</c:v>
                </c:pt>
                <c:pt idx="25">
                  <c:v>-0.28695164868791845</c:v>
                </c:pt>
                <c:pt idx="26">
                  <c:v>-0.31976679065673252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A-479D-BEC1-9ED0EC92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2134100488"/>
        <c:axId val="2134111752"/>
      </c:barChart>
      <c:catAx>
        <c:axId val="2134100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1752"/>
        <c:crosses val="autoZero"/>
        <c:auto val="1"/>
        <c:lblAlgn val="ctr"/>
        <c:lblOffset val="100"/>
        <c:noMultiLvlLbl val="0"/>
      </c:catAx>
      <c:valAx>
        <c:axId val="2134111752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32813836626458"/>
          <c:y val="0.94698181749020505"/>
          <c:w val="0.21642398267535315"/>
          <c:h val="3.8525428886606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5'!$B$81</c:f>
              <c:strCache>
                <c:ptCount val="1"/>
                <c:pt idx="0">
                  <c:v>Food - Oils and fats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5'!$C$81:$AE$81</c:f>
              <c:numCache>
                <c:formatCode>0.00%</c:formatCode>
                <c:ptCount val="29"/>
                <c:pt idx="0">
                  <c:v>2.8584495769494758E-2</c:v>
                </c:pt>
                <c:pt idx="1">
                  <c:v>5.1800800355713737E-2</c:v>
                </c:pt>
                <c:pt idx="2">
                  <c:v>3.2551257662227807E-2</c:v>
                </c:pt>
                <c:pt idx="3">
                  <c:v>3.7256908904810621E-2</c:v>
                </c:pt>
                <c:pt idx="4">
                  <c:v>4.9733570159857771E-2</c:v>
                </c:pt>
                <c:pt idx="5">
                  <c:v>2.7072758037225111E-2</c:v>
                </c:pt>
                <c:pt idx="6">
                  <c:v>-8.9694307157239198E-3</c:v>
                </c:pt>
                <c:pt idx="7">
                  <c:v>2.3088289619504935E-2</c:v>
                </c:pt>
                <c:pt idx="8">
                  <c:v>8.3047481494854559E-3</c:v>
                </c:pt>
                <c:pt idx="9">
                  <c:v>1.3428827215756492E-2</c:v>
                </c:pt>
                <c:pt idx="10">
                  <c:v>-3.0035335689045737E-3</c:v>
                </c:pt>
                <c:pt idx="11">
                  <c:v>-1.3113592060960341E-2</c:v>
                </c:pt>
                <c:pt idx="12">
                  <c:v>-1.544262883821172E-2</c:v>
                </c:pt>
                <c:pt idx="13">
                  <c:v>1.276673354003366E-3</c:v>
                </c:pt>
                <c:pt idx="14">
                  <c:v>5.2276867030965526E-2</c:v>
                </c:pt>
                <c:pt idx="15">
                  <c:v>2.6311234204604295E-2</c:v>
                </c:pt>
                <c:pt idx="16">
                  <c:v>1.5010963062911125E-2</c:v>
                </c:pt>
                <c:pt idx="17">
                  <c:v>-6.9790628115651912E-3</c:v>
                </c:pt>
                <c:pt idx="18">
                  <c:v>-2.4765729585006852E-2</c:v>
                </c:pt>
                <c:pt idx="19">
                  <c:v>-1.681537405627995E-2</c:v>
                </c:pt>
                <c:pt idx="20">
                  <c:v>-1.9022687609075006E-2</c:v>
                </c:pt>
                <c:pt idx="21">
                  <c:v>-1.1207970112079822E-2</c:v>
                </c:pt>
                <c:pt idx="22">
                  <c:v>1.2774379273119869E-2</c:v>
                </c:pt>
                <c:pt idx="23">
                  <c:v>-2.4871202700302111E-3</c:v>
                </c:pt>
                <c:pt idx="24">
                  <c:v>-6.589492430988505E-3</c:v>
                </c:pt>
                <c:pt idx="25">
                  <c:v>-4.1054141269272107E-2</c:v>
                </c:pt>
                <c:pt idx="26">
                  <c:v>-3.7390166386222355E-4</c:v>
                </c:pt>
                <c:pt idx="27">
                  <c:v>-2.3564615672339723E-2</c:v>
                </c:pt>
                <c:pt idx="28">
                  <c:v>-2.7580923194790337E-2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9-4380-ABF4-30783941651F}"/>
            </c:ext>
          </c:extLst>
        </c:ser>
        <c:ser>
          <c:idx val="1"/>
          <c:order val="1"/>
          <c:tx>
            <c:strRef>
              <c:f>'Analysis 5'!$B$95</c:f>
              <c:strCache>
                <c:ptCount val="1"/>
                <c:pt idx="0">
                  <c:v>HH -Fuel and light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5'!$C$95:$AE$95</c:f>
              <c:numCache>
                <c:formatCode>0.00%</c:formatCode>
                <c:ptCount val="29"/>
                <c:pt idx="0">
                  <c:v>2.435064935064955E-2</c:v>
                </c:pt>
                <c:pt idx="1">
                  <c:v>3.2148517093049486E-2</c:v>
                </c:pt>
                <c:pt idx="2">
                  <c:v>2.2812020179864018E-2</c:v>
                </c:pt>
                <c:pt idx="3">
                  <c:v>4.2890842805058682E-4</c:v>
                </c:pt>
                <c:pt idx="4">
                  <c:v>2.1650589496248526E-2</c:v>
                </c:pt>
                <c:pt idx="5">
                  <c:v>2.9374737725557936E-3</c:v>
                </c:pt>
                <c:pt idx="6">
                  <c:v>6.0669456066943942E-3</c:v>
                </c:pt>
                <c:pt idx="7">
                  <c:v>1.1436889166146868E-2</c:v>
                </c:pt>
                <c:pt idx="8">
                  <c:v>1.4391447368420234E-3</c:v>
                </c:pt>
                <c:pt idx="9">
                  <c:v>9.854239375898315E-3</c:v>
                </c:pt>
                <c:pt idx="10">
                  <c:v>-2.2362268753812211E-3</c:v>
                </c:pt>
                <c:pt idx="11">
                  <c:v>1.222493887530493E-3</c:v>
                </c:pt>
                <c:pt idx="12">
                  <c:v>4.0700040700038389E-4</c:v>
                </c:pt>
                <c:pt idx="13">
                  <c:v>9.1537835638732419E-3</c:v>
                </c:pt>
                <c:pt idx="14">
                  <c:v>9.0707518645434387E-3</c:v>
                </c:pt>
                <c:pt idx="15">
                  <c:v>3.0763084298841344E-2</c:v>
                </c:pt>
                <c:pt idx="16">
                  <c:v>1.4341085271318006E-2</c:v>
                </c:pt>
                <c:pt idx="17">
                  <c:v>8.024455483377619E-3</c:v>
                </c:pt>
                <c:pt idx="18">
                  <c:v>2.103866565580011E-2</c:v>
                </c:pt>
                <c:pt idx="19">
                  <c:v>-4.4551698533507218E-3</c:v>
                </c:pt>
                <c:pt idx="20">
                  <c:v>3.915718814096524E-3</c:v>
                </c:pt>
                <c:pt idx="21">
                  <c:v>5.3863298662702834E-3</c:v>
                </c:pt>
                <c:pt idx="22">
                  <c:v>4.0642896730095062E-3</c:v>
                </c:pt>
                <c:pt idx="23">
                  <c:v>3.4958601655936485E-3</c:v>
                </c:pt>
                <c:pt idx="24">
                  <c:v>-1.8335166850048557E-4</c:v>
                </c:pt>
                <c:pt idx="25">
                  <c:v>2.2006235099945298E-3</c:v>
                </c:pt>
                <c:pt idx="26">
                  <c:v>-1.0978956999084463E-3</c:v>
                </c:pt>
                <c:pt idx="27">
                  <c:v>-1.0991023997069997E-3</c:v>
                </c:pt>
                <c:pt idx="28">
                  <c:v>6.2350999449845273E-3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B9-4380-ABF4-30783941651F}"/>
            </c:ext>
          </c:extLst>
        </c:ser>
        <c:ser>
          <c:idx val="2"/>
          <c:order val="2"/>
          <c:tx>
            <c:strRef>
              <c:f>'Analysis 5'!$B$98</c:f>
              <c:strCache>
                <c:ptCount val="1"/>
                <c:pt idx="0">
                  <c:v>Misc - Transport and communication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5'!$C$98:$AE$98</c:f>
              <c:numCache>
                <c:formatCode>0.00%</c:formatCode>
                <c:ptCount val="29"/>
                <c:pt idx="0">
                  <c:v>8.7553241836250822E-3</c:v>
                </c:pt>
                <c:pt idx="1">
                  <c:v>2.2284775979357394E-2</c:v>
                </c:pt>
                <c:pt idx="2">
                  <c:v>7.8017439192289515E-3</c:v>
                </c:pt>
                <c:pt idx="3">
                  <c:v>2.7322404371583147E-3</c:v>
                </c:pt>
                <c:pt idx="4">
                  <c:v>1.5213442325159051E-2</c:v>
                </c:pt>
                <c:pt idx="5">
                  <c:v>1.1854171326325106E-2</c:v>
                </c:pt>
                <c:pt idx="6">
                  <c:v>1.6136162687887042E-2</c:v>
                </c:pt>
                <c:pt idx="7">
                  <c:v>5.2207961714160296E-3</c:v>
                </c:pt>
                <c:pt idx="8">
                  <c:v>4.3280675178530327E-4</c:v>
                </c:pt>
                <c:pt idx="9">
                  <c:v>1.1031797534068712E-2</c:v>
                </c:pt>
                <c:pt idx="10">
                  <c:v>-5.3487376979031737E-3</c:v>
                </c:pt>
                <c:pt idx="11">
                  <c:v>5.8077005807700951E-3</c:v>
                </c:pt>
                <c:pt idx="12">
                  <c:v>5.1325919589391544E-3</c:v>
                </c:pt>
                <c:pt idx="13">
                  <c:v>2.5531914893617384E-3</c:v>
                </c:pt>
                <c:pt idx="14">
                  <c:v>6.1544991511035775E-3</c:v>
                </c:pt>
                <c:pt idx="15">
                  <c:v>2.9529635098080514E-2</c:v>
                </c:pt>
                <c:pt idx="16">
                  <c:v>2.8682646998565986E-3</c:v>
                </c:pt>
                <c:pt idx="17">
                  <c:v>-1.1644535240040893E-2</c:v>
                </c:pt>
                <c:pt idx="18">
                  <c:v>3.1004547333610697E-3</c:v>
                </c:pt>
                <c:pt idx="19">
                  <c:v>1.8545229754791553E-3</c:v>
                </c:pt>
                <c:pt idx="20">
                  <c:v>2.4681201151787982E-3</c:v>
                </c:pt>
                <c:pt idx="21">
                  <c:v>3.4878949528108095E-3</c:v>
                </c:pt>
                <c:pt idx="22">
                  <c:v>6.1337149867099353E-4</c:v>
                </c:pt>
                <c:pt idx="23">
                  <c:v>2.451982018798564E-3</c:v>
                </c:pt>
                <c:pt idx="24">
                  <c:v>1.4268242967795464E-3</c:v>
                </c:pt>
                <c:pt idx="25">
                  <c:v>3.4602076124567241E-3</c:v>
                </c:pt>
                <c:pt idx="26">
                  <c:v>0</c:v>
                </c:pt>
                <c:pt idx="27">
                  <c:v>2.0283975659228055E-3</c:v>
                </c:pt>
                <c:pt idx="28">
                  <c:v>1.8218623481782068E-3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B9-4380-ABF4-30783941651F}"/>
            </c:ext>
          </c:extLst>
        </c:ser>
        <c:ser>
          <c:idx val="3"/>
          <c:order val="3"/>
          <c:tx>
            <c:strRef>
              <c:f>'Analysis 5'!$B$104</c:f>
              <c:strCache>
                <c:ptCount val="1"/>
                <c:pt idx="0">
                  <c:v>Crude Oil (% Change)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xVal>
          <c:yVal>
            <c:numRef>
              <c:f>'Analysis 5'!$C$104:$AE$104</c:f>
              <c:numCache>
                <c:formatCode>0.00%</c:formatCode>
                <c:ptCount val="29"/>
                <c:pt idx="0">
                  <c:v>9.9317817014446141E-2</c:v>
                </c:pt>
                <c:pt idx="1">
                  <c:v>0.11735718196751231</c:v>
                </c:pt>
                <c:pt idx="2">
                  <c:v>5.7334204508330697E-2</c:v>
                </c:pt>
                <c:pt idx="3">
                  <c:v>-2.0546887069365138E-2</c:v>
                </c:pt>
                <c:pt idx="4">
                  <c:v>5.5993690851735084E-2</c:v>
                </c:pt>
                <c:pt idx="5">
                  <c:v>7.5130694548170285E-2</c:v>
                </c:pt>
                <c:pt idx="6">
                  <c:v>2.1672686857460436E-2</c:v>
                </c:pt>
                <c:pt idx="7">
                  <c:v>-5.0856676638564163E-2</c:v>
                </c:pt>
                <c:pt idx="8">
                  <c:v>4.7707736389684792E-2</c:v>
                </c:pt>
                <c:pt idx="9">
                  <c:v>0.12279502256255989</c:v>
                </c:pt>
                <c:pt idx="10">
                  <c:v>-1.7902813299232722E-2</c:v>
                </c:pt>
                <c:pt idx="11">
                  <c:v>-9.1021825396825434E-2</c:v>
                </c:pt>
                <c:pt idx="12">
                  <c:v>0.15511596180081863</c:v>
                </c:pt>
                <c:pt idx="13">
                  <c:v>0.11101925121058216</c:v>
                </c:pt>
                <c:pt idx="14">
                  <c:v>0.19985117465717034</c:v>
                </c:pt>
                <c:pt idx="15">
                  <c:v>-8.7711526534951761E-2</c:v>
                </c:pt>
                <c:pt idx="16">
                  <c:v>6.3513644750898379E-2</c:v>
                </c:pt>
                <c:pt idx="17">
                  <c:v>5.9355310017350012E-2</c:v>
                </c:pt>
                <c:pt idx="18">
                  <c:v>-9.0681837772605897E-2</c:v>
                </c:pt>
                <c:pt idx="19">
                  <c:v>-7.6689733624040093E-2</c:v>
                </c:pt>
                <c:pt idx="20">
                  <c:v>-6.8685831622176716E-2</c:v>
                </c:pt>
                <c:pt idx="21">
                  <c:v>1.0913901444162818E-2</c:v>
                </c:pt>
                <c:pt idx="22">
                  <c:v>-4.5256270447110204E-2</c:v>
                </c:pt>
                <c:pt idx="23">
                  <c:v>-0.10793832095945177</c:v>
                </c:pt>
                <c:pt idx="24">
                  <c:v>3.6107554417413666E-2</c:v>
                </c:pt>
                <c:pt idx="25">
                  <c:v>1.6806722689075623E-2</c:v>
                </c:pt>
                <c:pt idx="26">
                  <c:v>-4.5454545454545393E-2</c:v>
                </c:pt>
                <c:pt idx="27">
                  <c:v>6.6462948815889974E-2</c:v>
                </c:pt>
                <c:pt idx="28">
                  <c:v>-0.10482330468003821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B9-4380-ABF4-30783941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3191"/>
        <c:axId val="1502844423"/>
      </c:scatterChart>
      <c:valAx>
        <c:axId val="150281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4423"/>
        <c:crosses val="autoZero"/>
        <c:crossBetween val="midCat"/>
      </c:valAx>
      <c:valAx>
        <c:axId val="150284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13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5'!$B$81</c:f>
              <c:strCache>
                <c:ptCount val="1"/>
                <c:pt idx="0">
                  <c:v>Food - Oils and fats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'Analysis 5'!$C$81:$AE$81</c:f>
              <c:numCache>
                <c:formatCode>0.00%</c:formatCode>
                <c:ptCount val="29"/>
                <c:pt idx="0">
                  <c:v>2.8584495769494758E-2</c:v>
                </c:pt>
                <c:pt idx="1">
                  <c:v>5.1800800355713737E-2</c:v>
                </c:pt>
                <c:pt idx="2">
                  <c:v>3.2551257662227807E-2</c:v>
                </c:pt>
                <c:pt idx="3">
                  <c:v>3.7256908904810621E-2</c:v>
                </c:pt>
                <c:pt idx="4">
                  <c:v>4.9733570159857771E-2</c:v>
                </c:pt>
                <c:pt idx="5">
                  <c:v>2.7072758037225111E-2</c:v>
                </c:pt>
                <c:pt idx="6">
                  <c:v>-8.9694307157239198E-3</c:v>
                </c:pt>
                <c:pt idx="7">
                  <c:v>2.3088289619504935E-2</c:v>
                </c:pt>
                <c:pt idx="8">
                  <c:v>8.3047481494854559E-3</c:v>
                </c:pt>
                <c:pt idx="9">
                  <c:v>1.3428827215756492E-2</c:v>
                </c:pt>
                <c:pt idx="10">
                  <c:v>-3.0035335689045737E-3</c:v>
                </c:pt>
                <c:pt idx="11">
                  <c:v>-1.3113592060960341E-2</c:v>
                </c:pt>
                <c:pt idx="12">
                  <c:v>-1.544262883821172E-2</c:v>
                </c:pt>
                <c:pt idx="13">
                  <c:v>1.276673354003366E-3</c:v>
                </c:pt>
                <c:pt idx="14">
                  <c:v>5.2276867030965526E-2</c:v>
                </c:pt>
                <c:pt idx="15">
                  <c:v>2.6311234204604295E-2</c:v>
                </c:pt>
                <c:pt idx="16">
                  <c:v>1.5010963062911125E-2</c:v>
                </c:pt>
                <c:pt idx="17">
                  <c:v>-6.9790628115651912E-3</c:v>
                </c:pt>
                <c:pt idx="18">
                  <c:v>-2.4765729585006852E-2</c:v>
                </c:pt>
                <c:pt idx="19">
                  <c:v>-1.681537405627995E-2</c:v>
                </c:pt>
                <c:pt idx="20">
                  <c:v>-1.9022687609075006E-2</c:v>
                </c:pt>
                <c:pt idx="21">
                  <c:v>-1.1207970112079822E-2</c:v>
                </c:pt>
                <c:pt idx="22">
                  <c:v>1.2774379273119869E-2</c:v>
                </c:pt>
                <c:pt idx="23">
                  <c:v>-2.4871202700302111E-3</c:v>
                </c:pt>
                <c:pt idx="24">
                  <c:v>-6.589492430988505E-3</c:v>
                </c:pt>
                <c:pt idx="25">
                  <c:v>-4.1054141269272107E-2</c:v>
                </c:pt>
                <c:pt idx="26">
                  <c:v>-3.7390166386222355E-4</c:v>
                </c:pt>
                <c:pt idx="27">
                  <c:v>-2.3564615672339723E-2</c:v>
                </c:pt>
                <c:pt idx="28">
                  <c:v>-2.7580923194790337E-2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E-463B-84CA-671118D0236E}"/>
            </c:ext>
          </c:extLst>
        </c:ser>
        <c:ser>
          <c:idx val="1"/>
          <c:order val="1"/>
          <c:tx>
            <c:strRef>
              <c:f>'Analysis 5'!$B$95</c:f>
              <c:strCache>
                <c:ptCount val="1"/>
                <c:pt idx="0">
                  <c:v>HH -Fuel and light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'Analysis 5'!$C$95:$AE$95</c:f>
              <c:numCache>
                <c:formatCode>0.00%</c:formatCode>
                <c:ptCount val="29"/>
                <c:pt idx="0">
                  <c:v>2.435064935064955E-2</c:v>
                </c:pt>
                <c:pt idx="1">
                  <c:v>3.2148517093049486E-2</c:v>
                </c:pt>
                <c:pt idx="2">
                  <c:v>2.2812020179864018E-2</c:v>
                </c:pt>
                <c:pt idx="3">
                  <c:v>4.2890842805058682E-4</c:v>
                </c:pt>
                <c:pt idx="4">
                  <c:v>2.1650589496248526E-2</c:v>
                </c:pt>
                <c:pt idx="5">
                  <c:v>2.9374737725557936E-3</c:v>
                </c:pt>
                <c:pt idx="6">
                  <c:v>6.0669456066943942E-3</c:v>
                </c:pt>
                <c:pt idx="7">
                  <c:v>1.1436889166146868E-2</c:v>
                </c:pt>
                <c:pt idx="8">
                  <c:v>1.4391447368420234E-3</c:v>
                </c:pt>
                <c:pt idx="9">
                  <c:v>9.854239375898315E-3</c:v>
                </c:pt>
                <c:pt idx="10">
                  <c:v>-2.2362268753812211E-3</c:v>
                </c:pt>
                <c:pt idx="11">
                  <c:v>1.222493887530493E-3</c:v>
                </c:pt>
                <c:pt idx="12">
                  <c:v>4.0700040700038389E-4</c:v>
                </c:pt>
                <c:pt idx="13">
                  <c:v>9.1537835638732419E-3</c:v>
                </c:pt>
                <c:pt idx="14">
                  <c:v>9.0707518645434387E-3</c:v>
                </c:pt>
                <c:pt idx="15">
                  <c:v>3.0763084298841344E-2</c:v>
                </c:pt>
                <c:pt idx="16">
                  <c:v>1.4341085271318006E-2</c:v>
                </c:pt>
                <c:pt idx="17">
                  <c:v>8.024455483377619E-3</c:v>
                </c:pt>
                <c:pt idx="18">
                  <c:v>2.103866565580011E-2</c:v>
                </c:pt>
                <c:pt idx="19">
                  <c:v>-4.4551698533507218E-3</c:v>
                </c:pt>
                <c:pt idx="20">
                  <c:v>3.915718814096524E-3</c:v>
                </c:pt>
                <c:pt idx="21">
                  <c:v>5.3863298662702834E-3</c:v>
                </c:pt>
                <c:pt idx="22">
                  <c:v>4.0642896730095062E-3</c:v>
                </c:pt>
                <c:pt idx="23">
                  <c:v>3.4958601655936485E-3</c:v>
                </c:pt>
                <c:pt idx="24">
                  <c:v>-1.8335166850048557E-4</c:v>
                </c:pt>
                <c:pt idx="25">
                  <c:v>2.2006235099945298E-3</c:v>
                </c:pt>
                <c:pt idx="26">
                  <c:v>-1.0978956999084463E-3</c:v>
                </c:pt>
                <c:pt idx="27">
                  <c:v>-1.0991023997069997E-3</c:v>
                </c:pt>
                <c:pt idx="28">
                  <c:v>6.2350999449845273E-3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E-463B-84CA-671118D0236E}"/>
            </c:ext>
          </c:extLst>
        </c:ser>
        <c:ser>
          <c:idx val="2"/>
          <c:order val="2"/>
          <c:tx>
            <c:strRef>
              <c:f>'Analysis 5'!$B$98</c:f>
              <c:strCache>
                <c:ptCount val="1"/>
                <c:pt idx="0">
                  <c:v>Misc - Transport and communication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'Analysis 5'!$C$98:$AE$98</c:f>
              <c:numCache>
                <c:formatCode>0.00%</c:formatCode>
                <c:ptCount val="29"/>
                <c:pt idx="0">
                  <c:v>8.7553241836250822E-3</c:v>
                </c:pt>
                <c:pt idx="1">
                  <c:v>2.2284775979357394E-2</c:v>
                </c:pt>
                <c:pt idx="2">
                  <c:v>7.8017439192289515E-3</c:v>
                </c:pt>
                <c:pt idx="3">
                  <c:v>2.7322404371583147E-3</c:v>
                </c:pt>
                <c:pt idx="4">
                  <c:v>1.5213442325159051E-2</c:v>
                </c:pt>
                <c:pt idx="5">
                  <c:v>1.1854171326325106E-2</c:v>
                </c:pt>
                <c:pt idx="6">
                  <c:v>1.6136162687887042E-2</c:v>
                </c:pt>
                <c:pt idx="7">
                  <c:v>5.2207961714160296E-3</c:v>
                </c:pt>
                <c:pt idx="8">
                  <c:v>4.3280675178530327E-4</c:v>
                </c:pt>
                <c:pt idx="9">
                  <c:v>1.1031797534068712E-2</c:v>
                </c:pt>
                <c:pt idx="10">
                  <c:v>-5.3487376979031737E-3</c:v>
                </c:pt>
                <c:pt idx="11">
                  <c:v>5.8077005807700951E-3</c:v>
                </c:pt>
                <c:pt idx="12">
                  <c:v>5.1325919589391544E-3</c:v>
                </c:pt>
                <c:pt idx="13">
                  <c:v>2.5531914893617384E-3</c:v>
                </c:pt>
                <c:pt idx="14">
                  <c:v>6.1544991511035775E-3</c:v>
                </c:pt>
                <c:pt idx="15">
                  <c:v>2.9529635098080514E-2</c:v>
                </c:pt>
                <c:pt idx="16">
                  <c:v>2.8682646998565986E-3</c:v>
                </c:pt>
                <c:pt idx="17">
                  <c:v>-1.1644535240040893E-2</c:v>
                </c:pt>
                <c:pt idx="18">
                  <c:v>3.1004547333610697E-3</c:v>
                </c:pt>
                <c:pt idx="19">
                  <c:v>1.8545229754791553E-3</c:v>
                </c:pt>
                <c:pt idx="20">
                  <c:v>2.4681201151787982E-3</c:v>
                </c:pt>
                <c:pt idx="21">
                  <c:v>3.4878949528108095E-3</c:v>
                </c:pt>
                <c:pt idx="22">
                  <c:v>6.1337149867099353E-4</c:v>
                </c:pt>
                <c:pt idx="23">
                  <c:v>2.451982018798564E-3</c:v>
                </c:pt>
                <c:pt idx="24">
                  <c:v>1.4268242967795464E-3</c:v>
                </c:pt>
                <c:pt idx="25">
                  <c:v>3.4602076124567241E-3</c:v>
                </c:pt>
                <c:pt idx="26">
                  <c:v>0</c:v>
                </c:pt>
                <c:pt idx="27">
                  <c:v>2.0283975659228055E-3</c:v>
                </c:pt>
                <c:pt idx="28">
                  <c:v>1.8218623481782068E-3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AE-463B-84CA-671118D0236E}"/>
            </c:ext>
          </c:extLst>
        </c:ser>
        <c:ser>
          <c:idx val="3"/>
          <c:order val="3"/>
          <c:tx>
            <c:strRef>
              <c:f>'Analysis 5'!$B$104</c:f>
              <c:strCache>
                <c:ptCount val="1"/>
                <c:pt idx="0">
                  <c:v>Crude Oil (% Change)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'Analysis 5'!$C$76:$AE$76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'Analysis 5'!$C$104:$AE$104</c:f>
              <c:numCache>
                <c:formatCode>0.00%</c:formatCode>
                <c:ptCount val="29"/>
                <c:pt idx="0">
                  <c:v>9.9317817014446141E-2</c:v>
                </c:pt>
                <c:pt idx="1">
                  <c:v>0.11735718196751231</c:v>
                </c:pt>
                <c:pt idx="2">
                  <c:v>5.7334204508330697E-2</c:v>
                </c:pt>
                <c:pt idx="3">
                  <c:v>-2.0546887069365138E-2</c:v>
                </c:pt>
                <c:pt idx="4">
                  <c:v>5.5993690851735084E-2</c:v>
                </c:pt>
                <c:pt idx="5">
                  <c:v>7.5130694548170285E-2</c:v>
                </c:pt>
                <c:pt idx="6">
                  <c:v>2.1672686857460436E-2</c:v>
                </c:pt>
                <c:pt idx="7">
                  <c:v>-5.0856676638564163E-2</c:v>
                </c:pt>
                <c:pt idx="8">
                  <c:v>4.7707736389684792E-2</c:v>
                </c:pt>
                <c:pt idx="9">
                  <c:v>0.12279502256255989</c:v>
                </c:pt>
                <c:pt idx="10">
                  <c:v>-1.7902813299232722E-2</c:v>
                </c:pt>
                <c:pt idx="11">
                  <c:v>-9.1021825396825434E-2</c:v>
                </c:pt>
                <c:pt idx="12">
                  <c:v>0.15511596180081863</c:v>
                </c:pt>
                <c:pt idx="13">
                  <c:v>0.11101925121058216</c:v>
                </c:pt>
                <c:pt idx="14">
                  <c:v>0.19985117465717034</c:v>
                </c:pt>
                <c:pt idx="15">
                  <c:v>-8.7711526534951761E-2</c:v>
                </c:pt>
                <c:pt idx="16">
                  <c:v>6.3513644750898379E-2</c:v>
                </c:pt>
                <c:pt idx="17">
                  <c:v>5.9355310017350012E-2</c:v>
                </c:pt>
                <c:pt idx="18">
                  <c:v>-9.0681837772605897E-2</c:v>
                </c:pt>
                <c:pt idx="19">
                  <c:v>-7.6689733624040093E-2</c:v>
                </c:pt>
                <c:pt idx="20">
                  <c:v>-6.8685831622176716E-2</c:v>
                </c:pt>
                <c:pt idx="21">
                  <c:v>1.0913901444162818E-2</c:v>
                </c:pt>
                <c:pt idx="22">
                  <c:v>-4.5256270447110204E-2</c:v>
                </c:pt>
                <c:pt idx="23">
                  <c:v>-0.10793832095945177</c:v>
                </c:pt>
                <c:pt idx="24">
                  <c:v>3.6107554417413666E-2</c:v>
                </c:pt>
                <c:pt idx="25">
                  <c:v>1.6806722689075623E-2</c:v>
                </c:pt>
                <c:pt idx="26">
                  <c:v>-4.5454545454545393E-2</c:v>
                </c:pt>
                <c:pt idx="27">
                  <c:v>6.6462948815889974E-2</c:v>
                </c:pt>
                <c:pt idx="28">
                  <c:v>-0.10482330468003821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AE-463B-84CA-671118D02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13191"/>
        <c:axId val="1502844423"/>
      </c:lineChart>
      <c:dateAx>
        <c:axId val="150281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4423"/>
        <c:crosses val="autoZero"/>
        <c:auto val="1"/>
        <c:lblOffset val="100"/>
        <c:baseTimeUnit val="months"/>
      </c:dateAx>
      <c:valAx>
        <c:axId val="150284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1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</xdr:row>
      <xdr:rowOff>152400</xdr:rowOff>
    </xdr:from>
    <xdr:to>
      <xdr:col>9</xdr:col>
      <xdr:colOff>571500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83808-4758-4512-A1C7-9F6B11AF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2</xdr:row>
      <xdr:rowOff>152400</xdr:rowOff>
    </xdr:from>
    <xdr:to>
      <xdr:col>18</xdr:col>
      <xdr:colOff>0</xdr:colOff>
      <xdr:row>25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3447E3-DB4D-4035-B869-F91C8A1D12F5}"/>
            </a:ext>
            <a:ext uri="{147F2762-F138-4A5C-976F-8EAC2B608ADB}">
              <a16:predDERef xmlns:a16="http://schemas.microsoft.com/office/drawing/2014/main" pred="{E8F83808-4758-4512-A1C7-9F6B11AF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561975</xdr:colOff>
      <xdr:row>3</xdr:row>
      <xdr:rowOff>9525</xdr:rowOff>
    </xdr:from>
    <xdr:to>
      <xdr:col>28</xdr:col>
      <xdr:colOff>600075</xdr:colOff>
      <xdr:row>44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8323F8-381E-45F0-9585-568F68673BAC}"/>
            </a:ext>
            <a:ext uri="{147F2762-F138-4A5C-976F-8EAC2B608ADB}">
              <a16:predDERef xmlns:a16="http://schemas.microsoft.com/office/drawing/2014/main" pred="{3E3447E3-DB4D-4035-B869-F91C8A1D1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581025</xdr:colOff>
      <xdr:row>44</xdr:row>
      <xdr:rowOff>123825</xdr:rowOff>
    </xdr:from>
    <xdr:to>
      <xdr:col>15</xdr:col>
      <xdr:colOff>171450</xdr:colOff>
      <xdr:row>71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1B354F-26B1-4158-BFA3-9B5CD289CBF7}"/>
            </a:ext>
            <a:ext uri="{147F2762-F138-4A5C-976F-8EAC2B608ADB}">
              <a16:predDERef xmlns:a16="http://schemas.microsoft.com/office/drawing/2014/main" pred="{3C8323F8-381E-45F0-9585-568F68673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190500</xdr:colOff>
      <xdr:row>44</xdr:row>
      <xdr:rowOff>123825</xdr:rowOff>
    </xdr:from>
    <xdr:to>
      <xdr:col>28</xdr:col>
      <xdr:colOff>542925</xdr:colOff>
      <xdr:row>71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AA8C3F-B92F-43DC-8C43-0060E305C73E}"/>
            </a:ext>
            <a:ext uri="{147F2762-F138-4A5C-976F-8EAC2B608ADB}">
              <a16:predDERef xmlns:a16="http://schemas.microsoft.com/office/drawing/2014/main" pred="{931B354F-26B1-4158-BFA3-9B5CD289C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552450</xdr:colOff>
      <xdr:row>25</xdr:row>
      <xdr:rowOff>9525</xdr:rowOff>
    </xdr:from>
    <xdr:to>
      <xdr:col>9</xdr:col>
      <xdr:colOff>581025</xdr:colOff>
      <xdr:row>44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2B4271-9215-4829-9F67-C4B0F54D7DE6}"/>
            </a:ext>
            <a:ext uri="{147F2762-F138-4A5C-976F-8EAC2B608ADB}">
              <a16:predDERef xmlns:a16="http://schemas.microsoft.com/office/drawing/2014/main" pred="{0DAA8C3F-B92F-43DC-8C43-0060E305C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200025</xdr:colOff>
      <xdr:row>71</xdr:row>
      <xdr:rowOff>19050</xdr:rowOff>
    </xdr:from>
    <xdr:to>
      <xdr:col>28</xdr:col>
      <xdr:colOff>571500</xdr:colOff>
      <xdr:row>106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286DC7-E813-413B-BDE5-5BBC4C6BB493}"/>
            </a:ext>
            <a:ext uri="{147F2762-F138-4A5C-976F-8EAC2B608ADB}">
              <a16:predDERef xmlns:a16="http://schemas.microsoft.com/office/drawing/2014/main" pred="{2E2B4271-9215-4829-9F67-C4B0F54D7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552450</xdr:colOff>
      <xdr:row>71</xdr:row>
      <xdr:rowOff>28575</xdr:rowOff>
    </xdr:from>
    <xdr:to>
      <xdr:col>15</xdr:col>
      <xdr:colOff>190500</xdr:colOff>
      <xdr:row>106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2BC896-41BD-40BF-B72B-D4499F52B7E7}"/>
            </a:ext>
            <a:ext uri="{147F2762-F138-4A5C-976F-8EAC2B608ADB}">
              <a16:predDERef xmlns:a16="http://schemas.microsoft.com/office/drawing/2014/main" pred="{FA286DC7-E813-413B-BDE5-5BBC4C6B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542925</xdr:colOff>
      <xdr:row>25</xdr:row>
      <xdr:rowOff>0</xdr:rowOff>
    </xdr:from>
    <xdr:to>
      <xdr:col>17</xdr:col>
      <xdr:colOff>600075</xdr:colOff>
      <xdr:row>44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4A8934-BADC-421D-B70B-7C7D05811121}"/>
            </a:ext>
            <a:ext uri="{147F2762-F138-4A5C-976F-8EAC2B608ADB}">
              <a16:predDERef xmlns:a16="http://schemas.microsoft.com/office/drawing/2014/main" pred="{0C2BC896-41BD-40BF-B72B-D4499F52B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104775</xdr:rowOff>
    </xdr:from>
    <xdr:to>
      <xdr:col>25</xdr:col>
      <xdr:colOff>600075</xdr:colOff>
      <xdr:row>3</xdr:row>
      <xdr:rowOff>19050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CBEA372F-4F99-4066-F17B-DEC12BE54A69}"/>
            </a:ext>
            <a:ext uri="{147F2762-F138-4A5C-976F-8EAC2B608ADB}">
              <a16:predDERef xmlns:a16="http://schemas.microsoft.com/office/drawing/2014/main" pred="{B014DD28-7B30-4C38-A513-A1F12DF3B1B7}"/>
            </a:ext>
          </a:extLst>
        </xdr:cNvPr>
        <xdr:cNvSpPr/>
      </xdr:nvSpPr>
      <xdr:spPr>
        <a:xfrm>
          <a:off x="1228725" y="104775"/>
          <a:ext cx="14611350" cy="4000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The Indian Consumer's Story</a:t>
          </a:r>
        </a:p>
      </xdr:txBody>
    </xdr:sp>
    <xdr:clientData/>
  </xdr:twoCellAnchor>
  <xdr:twoCellAnchor>
    <xdr:from>
      <xdr:col>2</xdr:col>
      <xdr:colOff>0</xdr:colOff>
      <xdr:row>3</xdr:row>
      <xdr:rowOff>28575</xdr:rowOff>
    </xdr:from>
    <xdr:to>
      <xdr:col>25</xdr:col>
      <xdr:colOff>590550</xdr:colOff>
      <xdr:row>5</xdr:row>
      <xdr:rowOff>104775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6250369-C9D8-4B28-BAA1-9573812A5D26}"/>
            </a:ext>
            <a:ext uri="{147F2762-F138-4A5C-976F-8EAC2B608ADB}">
              <a16:predDERef xmlns:a16="http://schemas.microsoft.com/office/drawing/2014/main" pred="{CBEA372F-4F99-4066-F17B-DEC12BE54A69}"/>
            </a:ext>
          </a:extLst>
        </xdr:cNvPr>
        <xdr:cNvSpPr/>
      </xdr:nvSpPr>
      <xdr:spPr>
        <a:xfrm>
          <a:off x="1219200" y="514350"/>
          <a:ext cx="14611350" cy="4000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Navigating the Tides of Inflation</a:t>
          </a:r>
        </a:p>
      </xdr:txBody>
    </xdr:sp>
    <xdr:clientData/>
  </xdr:twoCellAnchor>
  <xdr:twoCellAnchor>
    <xdr:from>
      <xdr:col>2</xdr:col>
      <xdr:colOff>0</xdr:colOff>
      <xdr:row>5</xdr:row>
      <xdr:rowOff>114300</xdr:rowOff>
    </xdr:from>
    <xdr:to>
      <xdr:col>10</xdr:col>
      <xdr:colOff>19050</xdr:colOff>
      <xdr:row>26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D88ED2-868F-481A-916A-7E45813A439F}"/>
            </a:ext>
            <a:ext uri="{147F2762-F138-4A5C-976F-8EAC2B608ADB}">
              <a16:predDERef xmlns:a16="http://schemas.microsoft.com/office/drawing/2014/main" pred="{26250369-C9D8-4B28-BAA1-9573812A5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</xdr:colOff>
      <xdr:row>5</xdr:row>
      <xdr:rowOff>114300</xdr:rowOff>
    </xdr:from>
    <xdr:to>
      <xdr:col>18</xdr:col>
      <xdr:colOff>19050</xdr:colOff>
      <xdr:row>26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A4ADE7-CDE4-474C-A73C-C0DAFEF66403}"/>
            </a:ext>
            <a:ext uri="{147F2762-F138-4A5C-976F-8EAC2B608ADB}">
              <a16:predDERef xmlns:a16="http://schemas.microsoft.com/office/drawing/2014/main" pred="{FAD88ED2-868F-481A-916A-7E45813A4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28575</xdr:rowOff>
    </xdr:from>
    <xdr:to>
      <xdr:col>13</xdr:col>
      <xdr:colOff>590550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EB28E-21D6-496F-A455-FC55F509572C}"/>
            </a:ext>
            <a:ext uri="{147F2762-F138-4A5C-976F-8EAC2B608ADB}">
              <a16:predDERef xmlns:a16="http://schemas.microsoft.com/office/drawing/2014/main" pred="{51A4ADE7-CDE4-474C-A73C-C0DAFEF66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31</xdr:row>
      <xdr:rowOff>28575</xdr:rowOff>
    </xdr:from>
    <xdr:to>
      <xdr:col>25</xdr:col>
      <xdr:colOff>581025</xdr:colOff>
      <xdr:row>54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3B48AA-D9F8-49CD-BFA7-AA6B61FBC7CC}"/>
            </a:ext>
            <a:ext uri="{147F2762-F138-4A5C-976F-8EAC2B608ADB}">
              <a16:predDERef xmlns:a16="http://schemas.microsoft.com/office/drawing/2014/main" pred="{1FDEB28E-21D6-496F-A455-FC55F5095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28575</xdr:colOff>
      <xdr:row>5</xdr:row>
      <xdr:rowOff>123825</xdr:rowOff>
    </xdr:from>
    <xdr:to>
      <xdr:col>25</xdr:col>
      <xdr:colOff>600075</xdr:colOff>
      <xdr:row>26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57E493-AB15-4C5C-9709-04E0418D1241}"/>
            </a:ext>
            <a:ext uri="{147F2762-F138-4A5C-976F-8EAC2B608ADB}">
              <a16:predDERef xmlns:a16="http://schemas.microsoft.com/office/drawing/2014/main" pred="{733B48AA-D9F8-49CD-BFA7-AA6B61FBC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600075</xdr:colOff>
      <xdr:row>53</xdr:row>
      <xdr:rowOff>152400</xdr:rowOff>
    </xdr:from>
    <xdr:to>
      <xdr:col>25</xdr:col>
      <xdr:colOff>571500</xdr:colOff>
      <xdr:row>77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586D290-5D8B-4465-949A-538EB4AD949C}"/>
            </a:ext>
            <a:ext uri="{147F2762-F138-4A5C-976F-8EAC2B608ADB}">
              <a16:predDERef xmlns:a16="http://schemas.microsoft.com/office/drawing/2014/main" pred="{7657E493-AB15-4C5C-9709-04E0418D1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38100</xdr:colOff>
      <xdr:row>52</xdr:row>
      <xdr:rowOff>152400</xdr:rowOff>
    </xdr:from>
    <xdr:to>
      <xdr:col>13</xdr:col>
      <xdr:colOff>571500</xdr:colOff>
      <xdr:row>84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021EB6-056C-4166-98AC-718229B01695}"/>
            </a:ext>
            <a:ext uri="{147F2762-F138-4A5C-976F-8EAC2B608ADB}">
              <a16:predDERef xmlns:a16="http://schemas.microsoft.com/office/drawing/2014/main" pred="{3586D290-5D8B-4465-949A-538EB4AD9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590550</xdr:colOff>
      <xdr:row>26</xdr:row>
      <xdr:rowOff>85725</xdr:rowOff>
    </xdr:from>
    <xdr:to>
      <xdr:col>10</xdr:col>
      <xdr:colOff>9525</xdr:colOff>
      <xdr:row>31</xdr:row>
      <xdr:rowOff>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400B8CF4-04B7-4A6F-AFD0-5BA08B81B07D}"/>
            </a:ext>
            <a:ext uri="{147F2762-F138-4A5C-976F-8EAC2B608ADB}">
              <a16:predDERef xmlns:a16="http://schemas.microsoft.com/office/drawing/2014/main" pred="{7FF7329D-C739-4CA5-8194-3DE148A568C3}"/>
            </a:ext>
          </a:extLst>
        </xdr:cNvPr>
        <xdr:cNvSpPr/>
      </xdr:nvSpPr>
      <xdr:spPr>
        <a:xfrm>
          <a:off x="1200150" y="4295775"/>
          <a:ext cx="4905375" cy="7239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Rural Population spent more on Clothing &amp; Footware in May 2023</a:t>
          </a: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Urban Population has spent more on Miscellaneous goods during this time</a:t>
          </a:r>
        </a:p>
      </xdr:txBody>
    </xdr:sp>
    <xdr:clientData/>
  </xdr:twoCellAnchor>
  <xdr:twoCellAnchor>
    <xdr:from>
      <xdr:col>27</xdr:col>
      <xdr:colOff>581025</xdr:colOff>
      <xdr:row>16</xdr:row>
      <xdr:rowOff>95250</xdr:rowOff>
    </xdr:from>
    <xdr:to>
      <xdr:col>36</xdr:col>
      <xdr:colOff>0</xdr:colOff>
      <xdr:row>21</xdr:row>
      <xdr:rowOff>9525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3961828-1490-4006-9DBB-B5B517542A80}"/>
            </a:ext>
            <a:ext uri="{147F2762-F138-4A5C-976F-8EAC2B608ADB}">
              <a16:predDERef xmlns:a16="http://schemas.microsoft.com/office/drawing/2014/main" pred="{400B8CF4-04B7-4A6F-AFD0-5BA08B81B07D}"/>
            </a:ext>
          </a:extLst>
        </xdr:cNvPr>
        <xdr:cNvSpPr/>
      </xdr:nvSpPr>
      <xdr:spPr>
        <a:xfrm>
          <a:off x="17040225" y="2686050"/>
          <a:ext cx="4905375" cy="7239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200" b="1" i="0" u="none" strike="noStrike">
            <a:solidFill>
              <a:schemeClr val="l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581025</xdr:colOff>
      <xdr:row>48</xdr:row>
      <xdr:rowOff>19050</xdr:rowOff>
    </xdr:from>
    <xdr:to>
      <xdr:col>13</xdr:col>
      <xdr:colOff>581025</xdr:colOff>
      <xdr:row>52</xdr:row>
      <xdr:rowOff>133350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9DDBD5FA-E91A-4A9D-B93A-B23424B825B2}"/>
            </a:ext>
            <a:ext uri="{147F2762-F138-4A5C-976F-8EAC2B608ADB}">
              <a16:predDERef xmlns:a16="http://schemas.microsoft.com/office/drawing/2014/main" pred="{53961828-1490-4006-9DBB-B5B517542A80}"/>
            </a:ext>
          </a:extLst>
        </xdr:cNvPr>
        <xdr:cNvSpPr/>
      </xdr:nvSpPr>
      <xdr:spPr>
        <a:xfrm>
          <a:off x="1190625" y="7791450"/>
          <a:ext cx="7315200" cy="7620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Spices has major contribution on Food and Beverages Inflation in last 12 months whereas spending has decreased on Oil and Fats</a:t>
          </a:r>
        </a:p>
      </xdr:txBody>
    </xdr:sp>
    <xdr:clientData/>
  </xdr:twoCellAnchor>
  <xdr:twoCellAnchor>
    <xdr:from>
      <xdr:col>28</xdr:col>
      <xdr:colOff>0</xdr:colOff>
      <xdr:row>23</xdr:row>
      <xdr:rowOff>152400</xdr:rowOff>
    </xdr:from>
    <xdr:to>
      <xdr:col>36</xdr:col>
      <xdr:colOff>28575</xdr:colOff>
      <xdr:row>30</xdr:row>
      <xdr:rowOff>123825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CBE39820-9DB1-4943-88F7-EF4EC4DD843B}"/>
            </a:ext>
            <a:ext uri="{147F2762-F138-4A5C-976F-8EAC2B608ADB}">
              <a16:predDERef xmlns:a16="http://schemas.microsoft.com/office/drawing/2014/main" pred="{9DDBD5FA-E91A-4A9D-B93A-B23424B825B2}"/>
            </a:ext>
          </a:extLst>
        </xdr:cNvPr>
        <xdr:cNvSpPr/>
      </xdr:nvSpPr>
      <xdr:spPr>
        <a:xfrm>
          <a:off x="17068800" y="3876675"/>
          <a:ext cx="4905375" cy="11049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The average inflation rate for essential goods jumped significantly in the post-pandemic period compared to the years immediately preceding it.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Prices increased for F&amp;B by 66.67%, Essentials by 133.25% and HC by 93.34%</a:t>
          </a:r>
        </a:p>
      </xdr:txBody>
    </xdr:sp>
    <xdr:clientData/>
  </xdr:twoCellAnchor>
  <xdr:twoCellAnchor>
    <xdr:from>
      <xdr:col>14</xdr:col>
      <xdr:colOff>0</xdr:colOff>
      <xdr:row>78</xdr:row>
      <xdr:rowOff>28575</xdr:rowOff>
    </xdr:from>
    <xdr:to>
      <xdr:col>26</xdr:col>
      <xdr:colOff>0</xdr:colOff>
      <xdr:row>84</xdr:row>
      <xdr:rowOff>152400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7FF7329D-C739-4CA5-8194-3DE148A568C3}"/>
            </a:ext>
            <a:ext uri="{147F2762-F138-4A5C-976F-8EAC2B608ADB}">
              <a16:predDERef xmlns:a16="http://schemas.microsoft.com/office/drawing/2014/main" pred="{CBE39820-9DB1-4943-88F7-EF4EC4DD843B}"/>
            </a:ext>
          </a:extLst>
        </xdr:cNvPr>
        <xdr:cNvSpPr/>
      </xdr:nvSpPr>
      <xdr:spPr>
        <a:xfrm>
          <a:off x="8534400" y="12658725"/>
          <a:ext cx="7315200" cy="10953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There has direct Co-Relation between Crude Oil and Oils &amp; Fats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0</xdr:row>
      <xdr:rowOff>47625</xdr:rowOff>
    </xdr:from>
    <xdr:to>
      <xdr:col>20</xdr:col>
      <xdr:colOff>133350</xdr:colOff>
      <xdr:row>152</xdr:row>
      <xdr:rowOff>28575</xdr:rowOff>
    </xdr:to>
    <xdr:sp macro="" textlink="">
      <xdr:nvSpPr>
        <xdr:cNvPr id="20" name="Vertical Scroll 19">
          <a:extLst>
            <a:ext uri="{FF2B5EF4-FFF2-40B4-BE49-F238E27FC236}">
              <a16:creationId xmlns:a16="http://schemas.microsoft.com/office/drawing/2014/main" id="{8B12C439-5337-1AB4-E84C-BDD849D6143B}"/>
            </a:ext>
            <a:ext uri="{147F2762-F138-4A5C-976F-8EAC2B608ADB}">
              <a16:predDERef xmlns:a16="http://schemas.microsoft.com/office/drawing/2014/main" pred="{F7867B8B-C27E-5DB4-BD3E-9A2D8C5938D6}"/>
            </a:ext>
          </a:extLst>
        </xdr:cNvPr>
        <xdr:cNvSpPr/>
      </xdr:nvSpPr>
      <xdr:spPr>
        <a:xfrm>
          <a:off x="542925" y="47625"/>
          <a:ext cx="11782425" cy="24593550"/>
        </a:xfrm>
        <a:prstGeom prst="flowChartAlternate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19050</xdr:colOff>
      <xdr:row>35</xdr:row>
      <xdr:rowOff>142875</xdr:rowOff>
    </xdr:from>
    <xdr:to>
      <xdr:col>9</xdr:col>
      <xdr:colOff>600075</xdr:colOff>
      <xdr:row>56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8C7DE9-308D-4284-9A1D-30720E56CA91}"/>
            </a:ext>
            <a:ext uri="{147F2762-F138-4A5C-976F-8EAC2B608ADB}">
              <a16:predDERef xmlns:a16="http://schemas.microsoft.com/office/drawing/2014/main" pred="{8B12C439-5337-1AB4-E84C-BDD849D61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57</xdr:row>
      <xdr:rowOff>47625</xdr:rowOff>
    </xdr:from>
    <xdr:to>
      <xdr:col>19</xdr:col>
      <xdr:colOff>85725</xdr:colOff>
      <xdr:row>60</xdr:row>
      <xdr:rowOff>57150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6412E76E-20F5-5A04-0BC2-4A276129948D}"/>
            </a:ext>
            <a:ext uri="{147F2762-F138-4A5C-976F-8EAC2B608ADB}">
              <a16:predDERef xmlns:a16="http://schemas.microsoft.com/office/drawing/2014/main" pred="{428C7DE9-308D-4284-9A1D-30720E56CA91}"/>
            </a:ext>
          </a:extLst>
        </xdr:cNvPr>
        <xdr:cNvSpPr/>
      </xdr:nvSpPr>
      <xdr:spPr>
        <a:xfrm>
          <a:off x="1295400" y="8467725"/>
          <a:ext cx="10372725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Though there is Linear growth in Consumer Spending Y-o-Y, the year 2022 has marked the highest increase of 6.62% of Inflation owing to increase in Spices &amp; Footware prices.</a:t>
          </a:r>
        </a:p>
      </xdr:txBody>
    </xdr:sp>
    <xdr:clientData/>
  </xdr:twoCellAnchor>
  <xdr:twoCellAnchor>
    <xdr:from>
      <xdr:col>10</xdr:col>
      <xdr:colOff>600075</xdr:colOff>
      <xdr:row>35</xdr:row>
      <xdr:rowOff>152400</xdr:rowOff>
    </xdr:from>
    <xdr:to>
      <xdr:col>18</xdr:col>
      <xdr:colOff>581025</xdr:colOff>
      <xdr:row>56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E7C1C-EA4A-449B-BE67-5DE0C65EB81C}"/>
            </a:ext>
            <a:ext uri="{147F2762-F138-4A5C-976F-8EAC2B608ADB}">
              <a16:predDERef xmlns:a16="http://schemas.microsoft.com/office/drawing/2014/main" pred="{6412E76E-20F5-5A04-0BC2-4A2761299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61</xdr:row>
      <xdr:rowOff>19050</xdr:rowOff>
    </xdr:from>
    <xdr:to>
      <xdr:col>10</xdr:col>
      <xdr:colOff>19050</xdr:colOff>
      <xdr:row>78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326932-CDFB-45EC-B8EB-3582ECD1CCD9}"/>
            </a:ext>
            <a:ext uri="{147F2762-F138-4A5C-976F-8EAC2B608ADB}">
              <a16:predDERef xmlns:a16="http://schemas.microsoft.com/office/drawing/2014/main" pred="{99BE7C1C-EA4A-449B-BE67-5DE0C65EB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</xdr:colOff>
      <xdr:row>78</xdr:row>
      <xdr:rowOff>142875</xdr:rowOff>
    </xdr:from>
    <xdr:to>
      <xdr:col>9</xdr:col>
      <xdr:colOff>571500</xdr:colOff>
      <xdr:row>81</xdr:row>
      <xdr:rowOff>152400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B05802EA-0C12-46EF-90CC-87370FCA822C}"/>
            </a:ext>
            <a:ext uri="{147F2762-F138-4A5C-976F-8EAC2B608ADB}">
              <a16:predDERef xmlns:a16="http://schemas.microsoft.com/office/drawing/2014/main" pred="{9D326932-CDFB-45EC-B8EB-3582ECD1CCD9}"/>
            </a:ext>
          </a:extLst>
        </xdr:cNvPr>
        <xdr:cNvSpPr/>
      </xdr:nvSpPr>
      <xdr:spPr>
        <a:xfrm>
          <a:off x="1238250" y="11963400"/>
          <a:ext cx="481965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In Last 12 months, June had highest Inflation rate</a:t>
          </a:r>
        </a:p>
      </xdr:txBody>
    </xdr:sp>
    <xdr:clientData/>
  </xdr:twoCellAnchor>
  <xdr:twoCellAnchor>
    <xdr:from>
      <xdr:col>11</xdr:col>
      <xdr:colOff>9525</xdr:colOff>
      <xdr:row>61</xdr:row>
      <xdr:rowOff>0</xdr:rowOff>
    </xdr:from>
    <xdr:to>
      <xdr:col>18</xdr:col>
      <xdr:colOff>600075</xdr:colOff>
      <xdr:row>78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26D190-B037-49B7-8C29-13640FDA40A5}"/>
            </a:ext>
            <a:ext uri="{147F2762-F138-4A5C-976F-8EAC2B608ADB}">
              <a16:predDERef xmlns:a16="http://schemas.microsoft.com/office/drawing/2014/main" pred="{B05802EA-0C12-46EF-90CC-87370FCA8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</xdr:colOff>
      <xdr:row>79</xdr:row>
      <xdr:rowOff>0</xdr:rowOff>
    </xdr:from>
    <xdr:to>
      <xdr:col>18</xdr:col>
      <xdr:colOff>571500</xdr:colOff>
      <xdr:row>82</xdr:row>
      <xdr:rowOff>9525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2D45370C-C546-468C-859C-1D716AF9F455}"/>
            </a:ext>
            <a:ext uri="{147F2762-F138-4A5C-976F-8EAC2B608ADB}">
              <a16:predDERef xmlns:a16="http://schemas.microsoft.com/office/drawing/2014/main" pred="{7026D190-B037-49B7-8C29-13640FDA40A5}"/>
            </a:ext>
          </a:extLst>
        </xdr:cNvPr>
        <xdr:cNvSpPr/>
      </xdr:nvSpPr>
      <xdr:spPr>
        <a:xfrm>
          <a:off x="6724650" y="11982450"/>
          <a:ext cx="481965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Spice prices surged however Oils anf fats got cheaper as oil prices dropped in June'22</a:t>
          </a:r>
        </a:p>
      </xdr:txBody>
    </xdr:sp>
    <xdr:clientData/>
  </xdr:twoCellAnchor>
  <xdr:twoCellAnchor>
    <xdr:from>
      <xdr:col>2</xdr:col>
      <xdr:colOff>9525</xdr:colOff>
      <xdr:row>11</xdr:row>
      <xdr:rowOff>9525</xdr:rowOff>
    </xdr:from>
    <xdr:to>
      <xdr:col>10</xdr:col>
      <xdr:colOff>9525</xdr:colOff>
      <xdr:row>31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CE7536-5601-4A85-9164-5E63F9DFC8EA}"/>
            </a:ext>
            <a:ext uri="{147F2762-F138-4A5C-976F-8EAC2B608ADB}">
              <a16:predDERef xmlns:a16="http://schemas.microsoft.com/office/drawing/2014/main" pred="{2D45370C-C546-468C-859C-1D716AF9F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66675</xdr:colOff>
      <xdr:row>31</xdr:row>
      <xdr:rowOff>76200</xdr:rowOff>
    </xdr:from>
    <xdr:to>
      <xdr:col>10</xdr:col>
      <xdr:colOff>9525</xdr:colOff>
      <xdr:row>35</xdr:row>
      <xdr:rowOff>57150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CA50CE89-A5C8-4806-A287-7381C166C392}"/>
            </a:ext>
            <a:ext uri="{147F2762-F138-4A5C-976F-8EAC2B608ADB}">
              <a16:predDERef xmlns:a16="http://schemas.microsoft.com/office/drawing/2014/main" pred="{BFCE7536-5601-4A85-9164-5E63F9DFC8EA}"/>
            </a:ext>
          </a:extLst>
        </xdr:cNvPr>
        <xdr:cNvSpPr/>
      </xdr:nvSpPr>
      <xdr:spPr>
        <a:xfrm>
          <a:off x="1285875" y="4286250"/>
          <a:ext cx="481965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Onset of Covid has observed the surge in Prices 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F&amp;B prices inflated by 66.67%, Essentials by 133.25% and Healthcare by 93.34%</a:t>
          </a:r>
        </a:p>
      </xdr:txBody>
    </xdr:sp>
    <xdr:clientData/>
  </xdr:twoCellAnchor>
  <xdr:twoCellAnchor>
    <xdr:from>
      <xdr:col>10</xdr:col>
      <xdr:colOff>600075</xdr:colOff>
      <xdr:row>11</xdr:row>
      <xdr:rowOff>19050</xdr:rowOff>
    </xdr:from>
    <xdr:to>
      <xdr:col>18</xdr:col>
      <xdr:colOff>581025</xdr:colOff>
      <xdr:row>31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D86B1A-BDC9-4DD5-A4F3-E03485C9269A}"/>
            </a:ext>
            <a:ext uri="{147F2762-F138-4A5C-976F-8EAC2B608ADB}">
              <a16:predDERef xmlns:a16="http://schemas.microsoft.com/office/drawing/2014/main" pred="{CA50CE89-A5C8-4806-A287-7381C166C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590550</xdr:colOff>
      <xdr:row>31</xdr:row>
      <xdr:rowOff>95250</xdr:rowOff>
    </xdr:from>
    <xdr:to>
      <xdr:col>18</xdr:col>
      <xdr:colOff>533400</xdr:colOff>
      <xdr:row>35</xdr:row>
      <xdr:rowOff>76200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A143062D-FD06-49A1-B13A-C4B3DBE7F42A}"/>
            </a:ext>
            <a:ext uri="{147F2762-F138-4A5C-976F-8EAC2B608ADB}">
              <a16:predDERef xmlns:a16="http://schemas.microsoft.com/office/drawing/2014/main" pred="{C1D86B1A-BDC9-4DD5-A4F3-E03485C9269A}"/>
            </a:ext>
          </a:extLst>
        </xdr:cNvPr>
        <xdr:cNvSpPr/>
      </xdr:nvSpPr>
      <xdr:spPr>
        <a:xfrm>
          <a:off x="6686550" y="4305300"/>
          <a:ext cx="481965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Oil and Fat prices recorded highest inflation rate onset of Covid </a:t>
          </a:r>
        </a:p>
      </xdr:txBody>
    </xdr:sp>
    <xdr:clientData/>
  </xdr:twoCellAnchor>
  <xdr:twoCellAnchor>
    <xdr:from>
      <xdr:col>1</xdr:col>
      <xdr:colOff>600075</xdr:colOff>
      <xdr:row>82</xdr:row>
      <xdr:rowOff>152400</xdr:rowOff>
    </xdr:from>
    <xdr:to>
      <xdr:col>18</xdr:col>
      <xdr:colOff>590550</xdr:colOff>
      <xdr:row>106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164BF5B-1610-45D3-8420-AA2242FB3397}"/>
            </a:ext>
            <a:ext uri="{147F2762-F138-4A5C-976F-8EAC2B608ADB}">
              <a16:predDERef xmlns:a16="http://schemas.microsoft.com/office/drawing/2014/main" pred="{A143062D-FD06-49A1-B13A-C4B3DBE7F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19050</xdr:colOff>
      <xdr:row>108</xdr:row>
      <xdr:rowOff>9525</xdr:rowOff>
    </xdr:from>
    <xdr:to>
      <xdr:col>17</xdr:col>
      <xdr:colOff>571500</xdr:colOff>
      <xdr:row>111</xdr:row>
      <xdr:rowOff>152400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70F90A60-9015-495D-B901-DF4C1888F8EE}"/>
            </a:ext>
            <a:ext uri="{147F2762-F138-4A5C-976F-8EAC2B608ADB}">
              <a16:predDERef xmlns:a16="http://schemas.microsoft.com/office/drawing/2014/main" pred="{E164BF5B-1610-45D3-8420-AA2242FB3397}"/>
            </a:ext>
          </a:extLst>
        </xdr:cNvPr>
        <xdr:cNvSpPr/>
      </xdr:nvSpPr>
      <xdr:spPr>
        <a:xfrm>
          <a:off x="1847850" y="16687800"/>
          <a:ext cx="908685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Oil and Fats shows direct correlation with Crude Oil, and its prices mimic Crude oil prices movements. 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The same correalation can be seen between Fuel and Transport Prices as they go hand in hand.</a:t>
          </a:r>
        </a:p>
      </xdr:txBody>
    </xdr:sp>
    <xdr:clientData/>
  </xdr:twoCellAnchor>
  <xdr:twoCellAnchor>
    <xdr:from>
      <xdr:col>1</xdr:col>
      <xdr:colOff>600075</xdr:colOff>
      <xdr:row>5</xdr:row>
      <xdr:rowOff>28575</xdr:rowOff>
    </xdr:from>
    <xdr:to>
      <xdr:col>19</xdr:col>
      <xdr:colOff>0</xdr:colOff>
      <xdr:row>8</xdr:row>
      <xdr:rowOff>38100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5EC8FF51-4BDB-46FD-8215-CC615E4387E4}"/>
            </a:ext>
            <a:ext uri="{147F2762-F138-4A5C-976F-8EAC2B608ADB}">
              <a16:predDERef xmlns:a16="http://schemas.microsoft.com/office/drawing/2014/main" pred="{70F90A60-9015-495D-B901-DF4C1888F8EE}"/>
            </a:ext>
          </a:extLst>
        </xdr:cNvPr>
        <xdr:cNvSpPr/>
      </xdr:nvSpPr>
      <xdr:spPr>
        <a:xfrm>
          <a:off x="1209675" y="28575"/>
          <a:ext cx="10372725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Indian Consumer Price Index </a:t>
          </a:r>
        </a:p>
      </xdr:txBody>
    </xdr:sp>
    <xdr:clientData/>
  </xdr:twoCellAnchor>
  <xdr:twoCellAnchor>
    <xdr:from>
      <xdr:col>1</xdr:col>
      <xdr:colOff>600075</xdr:colOff>
      <xdr:row>8</xdr:row>
      <xdr:rowOff>28575</xdr:rowOff>
    </xdr:from>
    <xdr:to>
      <xdr:col>19</xdr:col>
      <xdr:colOff>0</xdr:colOff>
      <xdr:row>10</xdr:row>
      <xdr:rowOff>95250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A21AA826-8E99-456C-80AA-62D441C1D6B7}"/>
            </a:ext>
            <a:ext uri="{147F2762-F138-4A5C-976F-8EAC2B608ADB}">
              <a16:predDERef xmlns:a16="http://schemas.microsoft.com/office/drawing/2014/main" pred="{5EC8FF51-4BDB-46FD-8215-CC615E4387E4}"/>
            </a:ext>
          </a:extLst>
        </xdr:cNvPr>
        <xdr:cNvSpPr/>
      </xdr:nvSpPr>
      <xdr:spPr>
        <a:xfrm>
          <a:off x="1209675" y="514350"/>
          <a:ext cx="10372725" cy="390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Impact of Covid Epidemic and Other Economic conditions thereafter</a:t>
          </a:r>
        </a:p>
      </xdr:txBody>
    </xdr:sp>
    <xdr:clientData/>
  </xdr:twoCellAnchor>
  <xdr:twoCellAnchor>
    <xdr:from>
      <xdr:col>2</xdr:col>
      <xdr:colOff>476250</xdr:colOff>
      <xdr:row>65</xdr:row>
      <xdr:rowOff>9525</xdr:rowOff>
    </xdr:from>
    <xdr:to>
      <xdr:col>3</xdr:col>
      <xdr:colOff>304800</xdr:colOff>
      <xdr:row>67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7867B8B-C27E-5DB4-BD3E-9A2D8C5938D6}"/>
            </a:ext>
            <a:ext uri="{147F2762-F138-4A5C-976F-8EAC2B608ADB}">
              <a16:predDERef xmlns:a16="http://schemas.microsoft.com/office/drawing/2014/main" pred="{A21AA826-8E99-456C-80AA-62D441C1D6B7}"/>
            </a:ext>
          </a:extLst>
        </xdr:cNvPr>
        <xdr:cNvSpPr/>
      </xdr:nvSpPr>
      <xdr:spPr>
        <a:xfrm>
          <a:off x="1695450" y="9725025"/>
          <a:ext cx="438150" cy="428625"/>
        </a:xfrm>
        <a:prstGeom prst="rect">
          <a:avLst/>
        </a:prstGeom>
        <a:noFill/>
        <a:ln w="28575">
          <a:solidFill>
            <a:srgbClr val="FF0000"/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19050</xdr:colOff>
      <xdr:row>46</xdr:row>
      <xdr:rowOff>66675</xdr:rowOff>
    </xdr:from>
    <xdr:to>
      <xdr:col>8</xdr:col>
      <xdr:colOff>561975</xdr:colOff>
      <xdr:row>49</xdr:row>
      <xdr:rowOff>104775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C845918-90EB-4AB9-A88D-68365986D215}"/>
            </a:ext>
            <a:ext uri="{147F2762-F138-4A5C-976F-8EAC2B608ADB}">
              <a16:predDERef xmlns:a16="http://schemas.microsoft.com/office/drawing/2014/main" pred="{F7867B8B-C27E-5DB4-BD3E-9A2D8C5938D6}"/>
            </a:ext>
          </a:extLst>
        </xdr:cNvPr>
        <xdr:cNvSpPr/>
      </xdr:nvSpPr>
      <xdr:spPr>
        <a:xfrm>
          <a:off x="4895850" y="6705600"/>
          <a:ext cx="542925" cy="523875"/>
        </a:xfrm>
        <a:prstGeom prst="rect">
          <a:avLst/>
        </a:prstGeom>
        <a:noFill/>
        <a:ln w="28575">
          <a:solidFill>
            <a:srgbClr val="FF0000"/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495300</xdr:colOff>
      <xdr:row>112</xdr:row>
      <xdr:rowOff>95250</xdr:rowOff>
    </xdr:from>
    <xdr:to>
      <xdr:col>16</xdr:col>
      <xdr:colOff>419100</xdr:colOff>
      <xdr:row>144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AB0A583-C001-4D1E-A5C5-1D887C750A77}"/>
            </a:ext>
            <a:ext uri="{147F2762-F138-4A5C-976F-8EAC2B608ADB}">
              <a16:predDERef xmlns:a16="http://schemas.microsoft.com/office/drawing/2014/main" pred="{EC845918-90EB-4AB9-A88D-68365986D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190500</xdr:colOff>
      <xdr:row>145</xdr:row>
      <xdr:rowOff>66675</xdr:rowOff>
    </xdr:from>
    <xdr:to>
      <xdr:col>18</xdr:col>
      <xdr:colOff>133350</xdr:colOff>
      <xdr:row>149</xdr:row>
      <xdr:rowOff>47625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F120CD3D-B08B-4E46-9A63-A8616C6B89A8}"/>
            </a:ext>
            <a:ext uri="{147F2762-F138-4A5C-976F-8EAC2B608ADB}">
              <a16:predDERef xmlns:a16="http://schemas.microsoft.com/office/drawing/2014/main" pred="{6AB0A583-C001-4D1E-A5C5-1D887C750A77}"/>
            </a:ext>
          </a:extLst>
        </xdr:cNvPr>
        <xdr:cNvSpPr/>
      </xdr:nvSpPr>
      <xdr:spPr>
        <a:xfrm>
          <a:off x="2019300" y="23545800"/>
          <a:ext cx="908685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Oil &amp; Fats and Seafood correlate to Crude Oil prices and tends to rise or fall more as per the Crude Oil price movements.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However India being the Agricultural and Dairy based Economy most Food and Dairy products are inversely Correlated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General Index somewhat relates to movement of CrudeOil prices as a India's Energy requirements are increasing ever.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552450</xdr:colOff>
      <xdr:row>7</xdr:row>
      <xdr:rowOff>9525</xdr:rowOff>
    </xdr:from>
    <xdr:to>
      <xdr:col>42</xdr:col>
      <xdr:colOff>123825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EAF84-5E8E-1B0A-4CA7-CA95312AF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9525</xdr:rowOff>
    </xdr:from>
    <xdr:to>
      <xdr:col>6</xdr:col>
      <xdr:colOff>238125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9EA9E-AC62-026F-B4C4-4E1CBF0D7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314325</xdr:colOff>
      <xdr:row>43</xdr:row>
      <xdr:rowOff>123825</xdr:rowOff>
    </xdr:from>
    <xdr:to>
      <xdr:col>38</xdr:col>
      <xdr:colOff>542925</xdr:colOff>
      <xdr:row>76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9E89C2-E3A6-3DA6-A838-5DCD6B5B1C22}"/>
            </a:ext>
            <a:ext uri="{147F2762-F138-4A5C-976F-8EAC2B608ADB}">
              <a16:predDERef xmlns:a16="http://schemas.microsoft.com/office/drawing/2014/main" pred="{CF29EA9E-AC62-026F-B4C4-4E1CBF0D7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409575</xdr:colOff>
      <xdr:row>39</xdr:row>
      <xdr:rowOff>38100</xdr:rowOff>
    </xdr:from>
    <xdr:to>
      <xdr:col>55</xdr:col>
      <xdr:colOff>9525</xdr:colOff>
      <xdr:row>71</xdr:row>
      <xdr:rowOff>95250</xdr:rowOff>
    </xdr:to>
    <xdr:graphicFrame macro="">
      <xdr:nvGraphicFramePr>
        <xdr:cNvPr id="43" name="Chart 4">
          <a:extLst>
            <a:ext uri="{FF2B5EF4-FFF2-40B4-BE49-F238E27FC236}">
              <a16:creationId xmlns:a16="http://schemas.microsoft.com/office/drawing/2014/main" id="{F17F4B9E-1664-856B-3F17-BC3EDE81B1BB}"/>
            </a:ext>
            <a:ext uri="{147F2762-F138-4A5C-976F-8EAC2B608ADB}">
              <a16:predDERef xmlns:a16="http://schemas.microsoft.com/office/drawing/2014/main" pred="{D29E89C2-E3A6-3DA6-A838-5DCD6B5B1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485775</xdr:colOff>
      <xdr:row>77</xdr:row>
      <xdr:rowOff>19050</xdr:rowOff>
    </xdr:from>
    <xdr:to>
      <xdr:col>34</xdr:col>
      <xdr:colOff>104775</xdr:colOff>
      <xdr:row>94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8C501-17B1-6D33-A2E8-51331ADCDB39}"/>
            </a:ext>
            <a:ext uri="{147F2762-F138-4A5C-976F-8EAC2B608ADB}">
              <a16:predDERef xmlns:a16="http://schemas.microsoft.com/office/drawing/2014/main" pred="{F17F4B9E-1664-856B-3F17-BC3EDE81B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28575</xdr:colOff>
      <xdr:row>77</xdr:row>
      <xdr:rowOff>123825</xdr:rowOff>
    </xdr:from>
    <xdr:to>
      <xdr:col>24</xdr:col>
      <xdr:colOff>9525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122BA-DD11-23BA-2319-BDA492820EC1}"/>
            </a:ext>
            <a:ext uri="{147F2762-F138-4A5C-976F-8EAC2B608ADB}">
              <a16:predDERef xmlns:a16="http://schemas.microsoft.com/office/drawing/2014/main" pred="{C9B8C501-17B1-6D33-A2E8-51331ADCD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1924050</xdr:colOff>
      <xdr:row>23</xdr:row>
      <xdr:rowOff>0</xdr:rowOff>
    </xdr:from>
    <xdr:to>
      <xdr:col>10</xdr:col>
      <xdr:colOff>1381125</xdr:colOff>
      <xdr:row>39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0B334-EBD0-C56A-3607-4A58255D1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26</xdr:row>
      <xdr:rowOff>114300</xdr:rowOff>
    </xdr:from>
    <xdr:to>
      <xdr:col>25</xdr:col>
      <xdr:colOff>161925</xdr:colOff>
      <xdr:row>51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145F4-E4D9-1052-B4A5-1E2226430ABA}"/>
            </a:ext>
            <a:ext uri="{147F2762-F138-4A5C-976F-8EAC2B608ADB}">
              <a16:predDERef xmlns:a16="http://schemas.microsoft.com/office/drawing/2014/main" pred="{CB00B334-EBD0-C56A-3607-4A58255D1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</xdr:colOff>
      <xdr:row>22</xdr:row>
      <xdr:rowOff>28575</xdr:rowOff>
    </xdr:from>
    <xdr:to>
      <xdr:col>31</xdr:col>
      <xdr:colOff>19050</xdr:colOff>
      <xdr:row>39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3A9091-CAAA-FD2A-5EF3-CC5A95D32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22</xdr:row>
      <xdr:rowOff>38100</xdr:rowOff>
    </xdr:from>
    <xdr:to>
      <xdr:col>17</xdr:col>
      <xdr:colOff>28575</xdr:colOff>
      <xdr:row>39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19FA81-7692-19EF-45FC-D000736E61FD}"/>
            </a:ext>
            <a:ext uri="{147F2762-F138-4A5C-976F-8EAC2B608ADB}">
              <a16:predDERef xmlns:a16="http://schemas.microsoft.com/office/drawing/2014/main" pred="{AB3A9091-CAAA-FD2A-5EF3-CC5A95D32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46</xdr:row>
      <xdr:rowOff>0</xdr:rowOff>
    </xdr:from>
    <xdr:to>
      <xdr:col>28</xdr:col>
      <xdr:colOff>466725</xdr:colOff>
      <xdr:row>62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E41A3-C245-47A8-97CD-49504457D838}"/>
            </a:ext>
            <a:ext uri="{147F2762-F138-4A5C-976F-8EAC2B608ADB}">
              <a16:predDERef xmlns:a16="http://schemas.microsoft.com/office/drawing/2014/main" pred="{2F19FA81-7692-19EF-45FC-D000736E6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1609725</xdr:colOff>
      <xdr:row>51</xdr:row>
      <xdr:rowOff>0</xdr:rowOff>
    </xdr:from>
    <xdr:to>
      <xdr:col>14</xdr:col>
      <xdr:colOff>361950</xdr:colOff>
      <xdr:row>67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EC3353-6BF1-B830-E811-BD02DDC06109}"/>
            </a:ext>
            <a:ext uri="{147F2762-F138-4A5C-976F-8EAC2B608ADB}">
              <a16:predDERef xmlns:a16="http://schemas.microsoft.com/office/drawing/2014/main" pred="{C2DE41A3-C245-47A8-97CD-49504457D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107</xdr:row>
      <xdr:rowOff>47625</xdr:rowOff>
    </xdr:from>
    <xdr:to>
      <xdr:col>18</xdr:col>
      <xdr:colOff>161925</xdr:colOff>
      <xdr:row>139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927F7E-7FED-F6C8-7978-838660443AD2}"/>
            </a:ext>
            <a:ext uri="{147F2762-F138-4A5C-976F-8EAC2B608ADB}">
              <a16:predDERef xmlns:a16="http://schemas.microsoft.com/office/drawing/2014/main" pred="{E6971710-E98F-4B38-EBF2-A64D7F4D6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152400</xdr:colOff>
      <xdr:row>73</xdr:row>
      <xdr:rowOff>9525</xdr:rowOff>
    </xdr:from>
    <xdr:to>
      <xdr:col>47</xdr:col>
      <xdr:colOff>152400</xdr:colOff>
      <xdr:row>108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BB048-CB84-8A4E-23E8-FC3E1813FE98}"/>
            </a:ext>
            <a:ext uri="{147F2762-F138-4A5C-976F-8EAC2B608ADB}">
              <a16:predDERef xmlns:a16="http://schemas.microsoft.com/office/drawing/2014/main" pred="{EE927F7E-7FED-F6C8-7978-838660443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200025</xdr:colOff>
      <xdr:row>110</xdr:row>
      <xdr:rowOff>0</xdr:rowOff>
    </xdr:from>
    <xdr:to>
      <xdr:col>48</xdr:col>
      <xdr:colOff>180975</xdr:colOff>
      <xdr:row>138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0291F-98E1-41DF-9E2D-8ED8EC6F4FC2}"/>
            </a:ext>
            <a:ext uri="{147F2762-F138-4A5C-976F-8EAC2B608ADB}">
              <a16:predDERef xmlns:a16="http://schemas.microsoft.com/office/drawing/2014/main" pred="{C47BB048-CB84-8A4E-23E8-FC3E1813F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2.502395254633" createdVersion="8" refreshedVersion="8" minRefreshableVersion="3" recordCount="372" xr:uid="{F1F1AD51-F78D-4C18-878A-A8B5F9DE5214}">
  <cacheSource type="worksheet">
    <worksheetSource name="Main"/>
  </cacheSource>
  <cacheFields count="3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-Month" numFmtId="165">
      <sharedItems containsSemiMixedTypes="0" containsNonDate="0" containsDate="1" containsString="0" minDate="2013-01-01T00:00:00" maxDate="2023-05-02T00:00:00" count="12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/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Food Beverages" numFmtId="164">
      <sharedItems containsMixedTypes="1" containsNumber="1" minValue="105.5153846153846" maxValue="179.62307692307692"/>
    </cacheField>
    <cacheField name="Miscellaneous2" numFmtId="164">
      <sharedItems containsMixedTypes="1" containsNumber="1" minValue="103.93333333333334" maxValue="184.4"/>
    </cacheField>
    <cacheField name="Clothing and footwear3" numFmtId="164">
      <sharedItems containsMixedTypes="1" containsNumber="1" minValue="105.56666666666666" maxValue="189.9666666666667"/>
    </cacheField>
    <cacheField name="Essentials" numFmtId="164">
      <sharedItems containsMixedTypes="1" containsNumber="1" minValue="103.44000000000001" maxValue="178.07499999999999"/>
    </cacheField>
    <cacheField name="HealthCare" numFmtId="164">
      <sharedItems containsMixedTypes="1" containsNumber="1" minValue="103.9" maxValue="186.35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2.50239548611" createdVersion="8" refreshedVersion="8" minRefreshableVersion="3" recordCount="372" xr:uid="{131D06FC-044A-47FD-A31C-30B4D3F3ECF7}">
  <cacheSource type="worksheet">
    <worksheetSource ref="A1:AI373" sheet="All_India_Index_Upto_April23"/>
  </cacheSource>
  <cacheFields count="35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Marcrh" u="1"/>
      </sharedItems>
    </cacheField>
    <cacheField name="Year-Month" numFmtId="165">
      <sharedItems containsSemiMixedTypes="0" containsNonDate="0" containsDate="1" containsString="0" minDate="2013-01-01T00:00:00" maxDate="2023-05-02T00:00:00"/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/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Food Beverages" numFmtId="164">
      <sharedItems containsMixedTypes="1" containsNumber="1" minValue="105.5153846153846" maxValue="179.62307692307692"/>
    </cacheField>
    <cacheField name="Miscellaneous2" numFmtId="164">
      <sharedItems containsMixedTypes="1" containsNumber="1" minValue="103.93333333333334" maxValue="184.4"/>
    </cacheField>
    <cacheField name="Clothing and footwear3" numFmtId="164">
      <sharedItems containsMixedTypes="1" containsNumber="1" minValue="105.56666666666666" maxValue="189.9666666666667"/>
    </cacheField>
    <cacheField name="Essentials" numFmtId="164">
      <sharedItems containsMixedTypes="1" containsNumber="1" minValue="103.44000000000001" maxValue="178.074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2.50239548611" createdVersion="8" refreshedVersion="8" minRefreshableVersion="3" recordCount="372" xr:uid="{564F0CB5-4776-4090-B52A-147B7A84FC4A}">
  <cacheSource type="worksheet">
    <worksheetSource ref="A1:AJ373" sheet="All_India_Index_Upto_April23"/>
  </cacheSource>
  <cacheFields count="3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Marcrh" u="1"/>
      </sharedItems>
    </cacheField>
    <cacheField name="Year-Month" numFmtId="165">
      <sharedItems containsSemiMixedTypes="0" containsNonDate="0" containsDate="1" containsString="0" minDate="2013-01-01T00:00:00" maxDate="2023-05-02T00:00:00"/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/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Food Beverages" numFmtId="164">
      <sharedItems containsMixedTypes="1" containsNumber="1" minValue="105.5153846153846" maxValue="179.62307692307692"/>
    </cacheField>
    <cacheField name="Miscellaneous2" numFmtId="164">
      <sharedItems containsMixedTypes="1" containsNumber="1" minValue="103.93333333333334" maxValue="184.4"/>
    </cacheField>
    <cacheField name="Clothing and footwear3" numFmtId="164">
      <sharedItems containsMixedTypes="1" containsNumber="1" minValue="105.56666666666666" maxValue="189.9666666666667"/>
    </cacheField>
    <cacheField name="Essentials" numFmtId="164">
      <sharedItems containsMixedTypes="1" containsNumber="1" minValue="103.44000000000001" maxValue="178.07499999999999"/>
    </cacheField>
    <cacheField name="HealthCare" numFmtId="164">
      <sharedItems containsMixedTypes="1" containsNumber="1" minValue="103.9" maxValue="186.35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  <n v="105.5153846153846"/>
    <n v="104.16666666666667"/>
    <n v="106.23333333333335"/>
    <n v="104.35000000000001"/>
    <n v="104.35"/>
  </r>
  <r>
    <x v="1"/>
    <x v="0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05.87692307692308"/>
    <n v="103.93333333333334"/>
    <n v="105.56666666666666"/>
    <n v="103.44000000000001"/>
    <n v="104.19999999999999"/>
  </r>
  <r>
    <x v="2"/>
    <x v="0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05.63846153846156"/>
    <n v="104.03333333333335"/>
    <n v="106"/>
    <n v="103.47999999999999"/>
    <n v="104.25"/>
  </r>
  <r>
    <x v="0"/>
    <x v="0"/>
    <x v="1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  <n v="106.18461538461537"/>
    <n v="104.66666666666667"/>
    <n v="106.8"/>
    <n v="104.85"/>
    <n v="104.5"/>
  </r>
  <r>
    <x v="1"/>
    <x v="0"/>
    <x v="1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06.96923076923078"/>
    <n v="104.53333333333335"/>
    <n v="106.16666666666667"/>
    <n v="103.88000000000002"/>
    <n v="104.5"/>
  </r>
  <r>
    <x v="2"/>
    <x v="0"/>
    <x v="1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06.47692307692309"/>
    <n v="104.56666666666668"/>
    <n v="106.56666666666666"/>
    <n v="103.94000000000001"/>
    <n v="104.5"/>
  </r>
  <r>
    <x v="0"/>
    <x v="0"/>
    <x v="2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  <n v="106.32307692307693"/>
    <n v="105.03333333333335"/>
    <n v="107.3"/>
    <n v="105.14999999999999"/>
    <n v="104.5"/>
  </r>
  <r>
    <x v="1"/>
    <x v="0"/>
    <x v="2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06.67692307692307"/>
    <n v="105.06666666666668"/>
    <n v="106.73333333333333"/>
    <n v="104.28"/>
    <n v="104.7"/>
  </r>
  <r>
    <x v="2"/>
    <x v="0"/>
    <x v="2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06.46153846153848"/>
    <n v="105"/>
    <n v="107.06666666666666"/>
    <n v="104.24000000000001"/>
    <n v="104.6"/>
  </r>
  <r>
    <x v="0"/>
    <x v="0"/>
    <x v="3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  <n v="106.6"/>
    <n v="105.39999999999999"/>
    <n v="107.83333333333333"/>
    <n v="105.45"/>
    <n v="103.9"/>
  </r>
  <r>
    <x v="1"/>
    <x v="0"/>
    <x v="3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07.5153846153846"/>
    <n v="105.86666666666667"/>
    <n v="107.33333333333333"/>
    <n v="104.72"/>
    <n v="104.45"/>
  </r>
  <r>
    <x v="2"/>
    <x v="0"/>
    <x v="3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06.93846153846154"/>
    <n v="105.5"/>
    <n v="107.63333333333333"/>
    <n v="104.6"/>
    <n v="104.1"/>
  </r>
  <r>
    <x v="0"/>
    <x v="0"/>
    <x v="4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  <n v="107.23076923076923"/>
    <n v="105.96666666666665"/>
    <n v="108.43333333333332"/>
    <n v="105.97499999999999"/>
    <n v="103.9"/>
  </r>
  <r>
    <x v="1"/>
    <x v="0"/>
    <x v="4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09.0153846153846"/>
    <n v="106.43333333333332"/>
    <n v="107.83333333333333"/>
    <n v="104.88"/>
    <n v="104.4"/>
  </r>
  <r>
    <x v="2"/>
    <x v="0"/>
    <x v="4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07.86153846153844"/>
    <n v="106.06666666666666"/>
    <n v="108.2"/>
    <n v="104.88"/>
    <n v="104.1"/>
  </r>
  <r>
    <x v="0"/>
    <x v="0"/>
    <x v="5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  <n v="109.23076923076923"/>
    <n v="106.7"/>
    <n v="109.33333333333333"/>
    <n v="106.875"/>
    <n v="104.4"/>
  </r>
  <r>
    <x v="1"/>
    <x v="0"/>
    <x v="5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12.66153846153847"/>
    <n v="107.40000000000002"/>
    <n v="108.43333333333334"/>
    <n v="107.12"/>
    <n v="104.9"/>
  </r>
  <r>
    <x v="2"/>
    <x v="0"/>
    <x v="5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10.46153846153847"/>
    <n v="106.89999999999999"/>
    <n v="108.96666666666665"/>
    <n v="107"/>
    <n v="104.6"/>
  </r>
  <r>
    <x v="0"/>
    <x v="0"/>
    <x v="6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  <n v="111.22307692307689"/>
    <n v="107.56666666666666"/>
    <n v="110.10000000000001"/>
    <n v="108.10000000000001"/>
    <n v="104.7"/>
  </r>
  <r>
    <x v="1"/>
    <x v="0"/>
    <x v="6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14.56923076923077"/>
    <n v="108.30000000000001"/>
    <n v="109.03333333333335"/>
    <n v="108.35999999999999"/>
    <n v="105.15"/>
  </r>
  <r>
    <x v="2"/>
    <x v="0"/>
    <x v="6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12.41538461538461"/>
    <n v="107.76666666666665"/>
    <n v="109.66666666666667"/>
    <n v="108.26000000000002"/>
    <n v="104.9"/>
  </r>
  <r>
    <x v="0"/>
    <x v="0"/>
    <x v="7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  <n v="112.5"/>
    <n v="108.33333333333333"/>
    <n v="110.86666666666667"/>
    <n v="108.77500000000001"/>
    <n v="106.25"/>
  </r>
  <r>
    <x v="1"/>
    <x v="0"/>
    <x v="7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15.85384615384616"/>
    <n v="109.06666666666666"/>
    <n v="109.69999999999999"/>
    <n v="109.16"/>
    <n v="106.8"/>
  </r>
  <r>
    <x v="2"/>
    <x v="0"/>
    <x v="7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13.64615384615385"/>
    <n v="108.56666666666668"/>
    <n v="110.36666666666667"/>
    <n v="109.04"/>
    <n v="106.45"/>
  </r>
  <r>
    <x v="0"/>
    <x v="0"/>
    <x v="8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  <n v="114.50000000000001"/>
    <n v="109.36666666666667"/>
    <n v="112.2"/>
    <n v="109.95"/>
    <n v="107.5"/>
  </r>
  <r>
    <x v="1"/>
    <x v="0"/>
    <x v="8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15.41538461538462"/>
    <n v="109.90000000000002"/>
    <n v="110.5"/>
    <n v="110.08"/>
    <n v="107.4"/>
  </r>
  <r>
    <x v="2"/>
    <x v="0"/>
    <x v="8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14.74615384615383"/>
    <n v="109.5"/>
    <n v="111.5"/>
    <n v="110.05999999999999"/>
    <n v="107.44999999999999"/>
  </r>
  <r>
    <x v="0"/>
    <x v="0"/>
    <x v="9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  <n v="116"/>
    <n v="109.86666666666667"/>
    <n v="113.09999999999998"/>
    <n v="110.375"/>
    <n v="108.2"/>
  </r>
  <r>
    <x v="1"/>
    <x v="0"/>
    <x v="9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16.7076923076923"/>
    <n v="110.3"/>
    <n v="111.39999999999999"/>
    <n v="110.28"/>
    <n v="107.75"/>
  </r>
  <r>
    <x v="2"/>
    <x v="0"/>
    <x v="9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16.16923076923079"/>
    <n v="109.93333333333334"/>
    <n v="112.39999999999999"/>
    <n v="110.4"/>
    <n v="108"/>
  </r>
  <r>
    <x v="0"/>
    <x v="0"/>
    <x v="1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  <n v="118.21538461538461"/>
    <n v="110.43333333333334"/>
    <n v="114.03333333333335"/>
    <n v="111.125"/>
    <n v="108.95"/>
  </r>
  <r>
    <x v="1"/>
    <x v="0"/>
    <x v="1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18.8153846153846"/>
    <n v="110.73333333333333"/>
    <n v="112.26666666666667"/>
    <n v="110.55999999999999"/>
    <n v="108.25"/>
  </r>
  <r>
    <x v="2"/>
    <x v="0"/>
    <x v="1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18.36923076923077"/>
    <n v="110.46666666666665"/>
    <n v="113.30000000000001"/>
    <n v="110.9"/>
    <n v="108.69999999999999"/>
  </r>
  <r>
    <x v="0"/>
    <x v="0"/>
    <x v="11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  <n v="116.07692307692308"/>
    <n v="110.96666666666665"/>
    <n v="115.10000000000001"/>
    <n v="111.6"/>
    <n v="109.1"/>
  </r>
  <r>
    <x v="1"/>
    <x v="0"/>
    <x v="11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15.72307692307693"/>
    <n v="111.23333333333333"/>
    <n v="112.93333333333334"/>
    <n v="110.7"/>
    <n v="108.35"/>
  </r>
  <r>
    <x v="2"/>
    <x v="0"/>
    <x v="11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15.94615384615386"/>
    <n v="111"/>
    <n v="114.23333333333333"/>
    <n v="111.12"/>
    <n v="108.80000000000001"/>
  </r>
  <r>
    <x v="0"/>
    <x v="1"/>
    <x v="0"/>
    <x v="12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  <n v="114.35384615384616"/>
    <n v="111.39999999999999"/>
    <n v="115.73333333333333"/>
    <n v="111.97500000000001"/>
    <n v="109.44999999999999"/>
  </r>
  <r>
    <x v="1"/>
    <x v="1"/>
    <x v="0"/>
    <x v="12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14.17692307692307"/>
    <n v="112"/>
    <n v="113.46666666666665"/>
    <n v="111.35999999999999"/>
    <n v="108.85"/>
  </r>
  <r>
    <x v="2"/>
    <x v="1"/>
    <x v="0"/>
    <x v="12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14.29230769230767"/>
    <n v="111.59999999999998"/>
    <n v="114.8"/>
    <n v="111.67999999999999"/>
    <n v="109.25"/>
  </r>
  <r>
    <x v="0"/>
    <x v="1"/>
    <x v="1"/>
    <x v="13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  <n v="114.01538461538462"/>
    <n v="111.66666666666667"/>
    <n v="116.10000000000001"/>
    <n v="112.22500000000001"/>
    <n v="109.80000000000001"/>
  </r>
  <r>
    <x v="1"/>
    <x v="1"/>
    <x v="1"/>
    <x v="13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13.53846153846153"/>
    <n v="112.5"/>
    <n v="113.89999999999999"/>
    <n v="111.82000000000001"/>
    <n v="109.55000000000001"/>
  </r>
  <r>
    <x v="2"/>
    <x v="1"/>
    <x v="1"/>
    <x v="13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13.85384615384615"/>
    <n v="111.90000000000002"/>
    <n v="115.2"/>
    <n v="112.11999999999998"/>
    <n v="109.7"/>
  </r>
  <r>
    <x v="0"/>
    <x v="1"/>
    <x v="2"/>
    <x v="14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  <n v="114.72307692307693"/>
    <n v="112.03333333333335"/>
    <n v="116.53333333333335"/>
    <n v="112.6"/>
    <n v="110.15"/>
  </r>
  <r>
    <x v="1"/>
    <x v="1"/>
    <x v="2"/>
    <x v="14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14.07692307692308"/>
    <n v="113"/>
    <n v="114.36666666666666"/>
    <n v="112.1"/>
    <n v="110"/>
  </r>
  <r>
    <x v="2"/>
    <x v="1"/>
    <x v="2"/>
    <x v="14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14.48461538461537"/>
    <n v="112.36666666666667"/>
    <n v="115.63333333333333"/>
    <n v="112.46"/>
    <n v="110.1"/>
  </r>
  <r>
    <x v="0"/>
    <x v="1"/>
    <x v="3"/>
    <x v="15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  <n v="115.70000000000002"/>
    <n v="112.46666666666665"/>
    <n v="117.33333333333333"/>
    <n v="112.825"/>
    <n v="110.35"/>
  </r>
  <r>
    <x v="1"/>
    <x v="1"/>
    <x v="3"/>
    <x v="15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15.69230769230771"/>
    <n v="113.40000000000002"/>
    <n v="114.83333333333333"/>
    <n v="112.38000000000002"/>
    <n v="110.05"/>
  </r>
  <r>
    <x v="2"/>
    <x v="1"/>
    <x v="3"/>
    <x v="15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15.69999999999999"/>
    <n v="112.8"/>
    <n v="116.33333333333333"/>
    <n v="112.78"/>
    <n v="110.25"/>
  </r>
  <r>
    <x v="0"/>
    <x v="1"/>
    <x v="4"/>
    <x v="16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  <n v="116.45384615384614"/>
    <n v="113"/>
    <n v="118"/>
    <n v="113"/>
    <n v="110.5"/>
  </r>
  <r>
    <x v="1"/>
    <x v="1"/>
    <x v="4"/>
    <x v="16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17.33076923076925"/>
    <n v="113.83333333333333"/>
    <n v="115.3"/>
    <n v="112.74000000000001"/>
    <n v="110.25"/>
  </r>
  <r>
    <x v="2"/>
    <x v="1"/>
    <x v="4"/>
    <x v="16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16.80769230769235"/>
    <n v="113.26666666666667"/>
    <n v="116.93333333333332"/>
    <n v="113.04"/>
    <n v="110.44999999999999"/>
  </r>
  <r>
    <x v="0"/>
    <x v="1"/>
    <x v="5"/>
    <x v="17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  <n v="117.36153846153844"/>
    <n v="113.66666666666667"/>
    <n v="118.76666666666667"/>
    <n v="113.95"/>
    <n v="110.4"/>
  </r>
  <r>
    <x v="1"/>
    <x v="1"/>
    <x v="5"/>
    <x v="17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19"/>
    <n v="114.33333333333333"/>
    <n v="115.76666666666667"/>
    <n v="113.2"/>
    <n v="110.05000000000001"/>
  </r>
  <r>
    <x v="2"/>
    <x v="1"/>
    <x v="5"/>
    <x v="17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17.9769230769231"/>
    <n v="113.89999999999999"/>
    <n v="117.56666666666666"/>
    <n v="113.66000000000001"/>
    <n v="110.3"/>
  </r>
  <r>
    <x v="0"/>
    <x v="1"/>
    <x v="6"/>
    <x v="18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  <n v="120.24615384615385"/>
    <n v="114.3"/>
    <n v="119.76666666666667"/>
    <n v="114.85"/>
    <n v="111.1"/>
  </r>
  <r>
    <x v="1"/>
    <x v="1"/>
    <x v="6"/>
    <x v="18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23.03846153846153"/>
    <n v="115.63333333333333"/>
    <n v="116.33333333333333"/>
    <n v="114.41999999999999"/>
    <n v="110.6"/>
  </r>
  <r>
    <x v="2"/>
    <x v="1"/>
    <x v="6"/>
    <x v="18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21.25384615384615"/>
    <n v="114.73333333333333"/>
    <n v="118.33333333333333"/>
    <n v="114.75999999999999"/>
    <n v="110.95"/>
  </r>
  <r>
    <x v="0"/>
    <x v="1"/>
    <x v="7"/>
    <x v="19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  <n v="121.71538461538459"/>
    <n v="114.83333333333333"/>
    <n v="120.13333333333333"/>
    <n v="115.175"/>
    <n v="111.7"/>
  </r>
  <r>
    <x v="1"/>
    <x v="1"/>
    <x v="7"/>
    <x v="19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24.38461538461539"/>
    <n v="116.60000000000001"/>
    <n v="116.86666666666667"/>
    <n v="114.86000000000001"/>
    <n v="111.35"/>
  </r>
  <r>
    <x v="2"/>
    <x v="1"/>
    <x v="7"/>
    <x v="19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22.65384615384613"/>
    <n v="115.39999999999999"/>
    <n v="118.8"/>
    <n v="115.18000000000002"/>
    <n v="111.6"/>
  </r>
  <r>
    <x v="0"/>
    <x v="1"/>
    <x v="8"/>
    <x v="20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  <n v="121.78461538461539"/>
    <n v="115.26666666666667"/>
    <n v="120.73333333333333"/>
    <n v="115.47499999999999"/>
    <n v="111.8"/>
  </r>
  <r>
    <x v="1"/>
    <x v="1"/>
    <x v="8"/>
    <x v="20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22.59230769230771"/>
    <n v="117.09999999999998"/>
    <n v="117.36666666666667"/>
    <n v="114.91999999999999"/>
    <n v="111.15"/>
  </r>
  <r>
    <x v="2"/>
    <x v="1"/>
    <x v="8"/>
    <x v="20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22.00769230769228"/>
    <n v="115.86666666666666"/>
    <n v="119.33333333333333"/>
    <n v="115.42"/>
    <n v="111.6"/>
  </r>
  <r>
    <x v="0"/>
    <x v="1"/>
    <x v="9"/>
    <x v="21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  <n v="121.63076923076922"/>
    <n v="115.66666666666667"/>
    <n v="121.76666666666667"/>
    <n v="115.85"/>
    <n v="112.3"/>
  </r>
  <r>
    <x v="1"/>
    <x v="1"/>
    <x v="9"/>
    <x v="21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22.11538461538461"/>
    <n v="117.19999999999999"/>
    <n v="117.8"/>
    <n v="115.14000000000001"/>
    <n v="111.35"/>
  </r>
  <r>
    <x v="2"/>
    <x v="1"/>
    <x v="9"/>
    <x v="21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21.74615384615385"/>
    <n v="116.09999999999998"/>
    <n v="120.2"/>
    <n v="115.74000000000001"/>
    <n v="111.94999999999999"/>
  </r>
  <r>
    <x v="0"/>
    <x v="1"/>
    <x v="10"/>
    <x v="22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  <n v="121.69230769230769"/>
    <n v="116.06666666666666"/>
    <n v="122.23333333333335"/>
    <n v="116.14999999999999"/>
    <n v="112.35"/>
  </r>
  <r>
    <x v="1"/>
    <x v="1"/>
    <x v="10"/>
    <x v="22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22.13846153846154"/>
    <n v="117.73333333333335"/>
    <n v="118.39999999999999"/>
    <n v="115.22"/>
    <n v="111.3"/>
  </r>
  <r>
    <x v="2"/>
    <x v="1"/>
    <x v="10"/>
    <x v="22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21.78461538461539"/>
    <n v="116.53333333333335"/>
    <n v="120.7"/>
    <n v="115.94000000000001"/>
    <n v="111.94999999999999"/>
  </r>
  <r>
    <x v="0"/>
    <x v="1"/>
    <x v="11"/>
    <x v="23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  <n v="120.73846153846154"/>
    <n v="116.39999999999999"/>
    <n v="122.56666666666666"/>
    <n v="116.2"/>
    <n v="112.80000000000001"/>
  </r>
  <r>
    <x v="1"/>
    <x v="1"/>
    <x v="11"/>
    <x v="23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21.32307692307691"/>
    <n v="118.03333333333335"/>
    <n v="118.83333333333333"/>
    <n v="115.16000000000001"/>
    <n v="111.80000000000001"/>
  </r>
  <r>
    <x v="2"/>
    <x v="1"/>
    <x v="11"/>
    <x v="23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20.89999999999999"/>
    <n v="116.89999999999999"/>
    <n v="121.06666666666666"/>
    <n v="115.85999999999999"/>
    <n v="112.44999999999999"/>
  </r>
  <r>
    <x v="0"/>
    <x v="2"/>
    <x v="0"/>
    <x v="24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  <n v="120.62307692307692"/>
    <n v="117.06666666666666"/>
    <n v="123.33333333333333"/>
    <n v="116.625"/>
    <n v="113.4"/>
  </r>
  <r>
    <x v="1"/>
    <x v="2"/>
    <x v="0"/>
    <x v="24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21.14615384615384"/>
    <n v="118.46666666666665"/>
    <n v="119.10000000000001"/>
    <n v="115.31999999999998"/>
    <n v="112.55000000000001"/>
  </r>
  <r>
    <x v="2"/>
    <x v="2"/>
    <x v="0"/>
    <x v="24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20.71538461538461"/>
    <n v="117.43333333333334"/>
    <n v="121.63333333333333"/>
    <n v="116.2"/>
    <n v="113.1"/>
  </r>
  <r>
    <x v="0"/>
    <x v="2"/>
    <x v="1"/>
    <x v="25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  <n v="120.81538461538459"/>
    <n v="118"/>
    <n v="124.36666666666667"/>
    <n v="117.3"/>
    <n v="114.25"/>
  </r>
  <r>
    <x v="1"/>
    <x v="2"/>
    <x v="1"/>
    <x v="25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20.85384615384616"/>
    <n v="118.73333333333333"/>
    <n v="119.46666666666665"/>
    <n v="115.4"/>
    <n v="112.9"/>
  </r>
  <r>
    <x v="2"/>
    <x v="2"/>
    <x v="1"/>
    <x v="25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20.72307692307689"/>
    <n v="118.06666666666668"/>
    <n v="122.39999999999999"/>
    <n v="116.58"/>
    <n v="113.75"/>
  </r>
  <r>
    <x v="0"/>
    <x v="2"/>
    <x v="2"/>
    <x v="26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  <n v="120.88461538461539"/>
    <n v="118.56666666666666"/>
    <n v="124.8"/>
    <n v="117.94999999999999"/>
    <n v="114.5"/>
  </r>
  <r>
    <x v="1"/>
    <x v="2"/>
    <x v="2"/>
    <x v="26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20.61538461538463"/>
    <n v="119.33333333333333"/>
    <n v="119.83333333333333"/>
    <n v="116"/>
    <n v="112.8"/>
  </r>
  <r>
    <x v="2"/>
    <x v="2"/>
    <x v="2"/>
    <x v="26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20.69999999999999"/>
    <n v="118.63333333333333"/>
    <n v="122.8"/>
    <n v="117.22"/>
    <n v="113.85"/>
  </r>
  <r>
    <x v="0"/>
    <x v="2"/>
    <x v="3"/>
    <x v="27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  <n v="121.32307692307693"/>
    <n v="119.3"/>
    <n v="125.23333333333333"/>
    <n v="118.47499999999999"/>
    <n v="115.1"/>
  </r>
  <r>
    <x v="1"/>
    <x v="2"/>
    <x v="3"/>
    <x v="27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21.23846153846154"/>
    <n v="119.96666666666665"/>
    <n v="120.2"/>
    <n v="116.48000000000002"/>
    <n v="113.19999999999999"/>
  </r>
  <r>
    <x v="2"/>
    <x v="2"/>
    <x v="3"/>
    <x v="27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21.20769230769231"/>
    <n v="119.3"/>
    <n v="123.2"/>
    <n v="117.74000000000001"/>
    <n v="114.4"/>
  </r>
  <r>
    <x v="0"/>
    <x v="2"/>
    <x v="4"/>
    <x v="28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  <n v="122.13076923076923"/>
    <n v="120.10000000000001"/>
    <n v="126.06666666666666"/>
    <n v="119.3"/>
    <n v="115.85"/>
  </r>
  <r>
    <x v="1"/>
    <x v="2"/>
    <x v="4"/>
    <x v="28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22.9923076923077"/>
    <n v="120.83333333333333"/>
    <n v="120.46666666666665"/>
    <n v="117.2"/>
    <n v="113.65"/>
  </r>
  <r>
    <x v="2"/>
    <x v="2"/>
    <x v="4"/>
    <x v="28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22.33846153846154"/>
    <n v="120.09999999999998"/>
    <n v="123.8"/>
    <n v="118.47999999999999"/>
    <n v="115"/>
  </r>
  <r>
    <x v="0"/>
    <x v="2"/>
    <x v="5"/>
    <x v="2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  <n v="124.45384615384614"/>
    <n v="121.33333333333333"/>
    <n v="127.16666666666667"/>
    <n v="120.39999999999999"/>
    <n v="116.7"/>
  </r>
  <r>
    <x v="1"/>
    <x v="2"/>
    <x v="5"/>
    <x v="29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25.89230769230768"/>
    <n v="121.43333333333334"/>
    <n v="121.03333333333335"/>
    <n v="117.75999999999999"/>
    <n v="113.95"/>
  </r>
  <r>
    <x v="2"/>
    <x v="2"/>
    <x v="5"/>
    <x v="29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24.88461538461539"/>
    <n v="121.03333333333335"/>
    <n v="124.7"/>
    <n v="119.17999999999999"/>
    <n v="115.65"/>
  </r>
  <r>
    <x v="0"/>
    <x v="2"/>
    <x v="6"/>
    <x v="30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  <n v="125.02307692307691"/>
    <n v="121.83333333333333"/>
    <n v="127.53333333333335"/>
    <n v="120.75"/>
    <n v="116.75"/>
  </r>
  <r>
    <x v="1"/>
    <x v="2"/>
    <x v="6"/>
    <x v="30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26.37692307692306"/>
    <n v="122"/>
    <n v="121.36666666666667"/>
    <n v="118.32000000000001"/>
    <n v="113.85"/>
  </r>
  <r>
    <x v="2"/>
    <x v="2"/>
    <x v="6"/>
    <x v="30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25.43076923076924"/>
    <n v="121.60000000000001"/>
    <n v="125.03333333333335"/>
    <n v="119.67999999999999"/>
    <n v="115.65"/>
  </r>
  <r>
    <x v="0"/>
    <x v="2"/>
    <x v="7"/>
    <x v="31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  <n v="126.66153846153846"/>
    <n v="122.26666666666667"/>
    <n v="128.26666666666668"/>
    <n v="121.17500000000001"/>
    <n v="116.8"/>
  </r>
  <r>
    <x v="1"/>
    <x v="2"/>
    <x v="7"/>
    <x v="31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27.6076923076923"/>
    <n v="122.53333333333332"/>
    <n v="121.60000000000001"/>
    <n v="118.46000000000001"/>
    <n v="114.3"/>
  </r>
  <r>
    <x v="2"/>
    <x v="2"/>
    <x v="7"/>
    <x v="31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26.89230769230768"/>
    <n v="122.06666666666666"/>
    <n v="125.56666666666668"/>
    <n v="120.05999999999999"/>
    <n v="115.85"/>
  </r>
  <r>
    <x v="0"/>
    <x v="2"/>
    <x v="8"/>
    <x v="32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  <n v="127.50769230769232"/>
    <n v="123.13333333333333"/>
    <n v="129.03333333333333"/>
    <n v="121.625"/>
    <n v="117.55000000000001"/>
  </r>
  <r>
    <x v="1"/>
    <x v="2"/>
    <x v="8"/>
    <x v="32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28.06153846153845"/>
    <n v="122.73333333333333"/>
    <n v="121.93333333333334"/>
    <n v="118.54"/>
    <n v="115"/>
  </r>
  <r>
    <x v="2"/>
    <x v="2"/>
    <x v="8"/>
    <x v="32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27.56153846153848"/>
    <n v="122.60000000000001"/>
    <n v="126.16666666666667"/>
    <n v="120.32000000000001"/>
    <n v="116.6"/>
  </r>
  <r>
    <x v="0"/>
    <x v="2"/>
    <x v="9"/>
    <x v="33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  <n v="128.8153846153846"/>
    <n v="123.60000000000001"/>
    <n v="129.66666666666666"/>
    <n v="122.1"/>
    <n v="118.1"/>
  </r>
  <r>
    <x v="1"/>
    <x v="2"/>
    <x v="9"/>
    <x v="33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30.21538461538464"/>
    <n v="123.16666666666667"/>
    <n v="122.26666666666665"/>
    <n v="118.75999999999999"/>
    <n v="115.6"/>
  </r>
  <r>
    <x v="2"/>
    <x v="2"/>
    <x v="9"/>
    <x v="33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29.15384615384613"/>
    <n v="123.03333333333335"/>
    <n v="126.7"/>
    <n v="120.7"/>
    <n v="117.15"/>
  </r>
  <r>
    <x v="0"/>
    <x v="2"/>
    <x v="10"/>
    <x v="34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  <n v="129.71538461538461"/>
    <n v="124.23333333333333"/>
    <n v="130.6"/>
    <n v="122.75"/>
    <n v="118.4"/>
  </r>
  <r>
    <x v="1"/>
    <x v="2"/>
    <x v="10"/>
    <x v="34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31.42307692307691"/>
    <n v="124.03333333333335"/>
    <n v="122.83333333333333"/>
    <n v="118.97999999999999"/>
    <n v="115.69999999999999"/>
  </r>
  <r>
    <x v="2"/>
    <x v="2"/>
    <x v="10"/>
    <x v="34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30.16153846153844"/>
    <n v="123.63333333333333"/>
    <n v="127.46666666666665"/>
    <n v="121.13999999999999"/>
    <n v="117.35"/>
  </r>
  <r>
    <x v="0"/>
    <x v="2"/>
    <x v="11"/>
    <x v="35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  <n v="129.40769230769232"/>
    <n v="124.83333333333333"/>
    <n v="130.96666666666667"/>
    <n v="122.82499999999999"/>
    <n v="118.6"/>
  </r>
  <r>
    <x v="1"/>
    <x v="2"/>
    <x v="11"/>
    <x v="35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30.67692307692306"/>
    <n v="124.33333333333331"/>
    <n v="123.13333333333333"/>
    <n v="119.05999999999999"/>
    <n v="115.9"/>
  </r>
  <r>
    <x v="2"/>
    <x v="2"/>
    <x v="11"/>
    <x v="35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29.70000000000002"/>
    <n v="124.13333333333333"/>
    <n v="127.83333333333333"/>
    <n v="121.14000000000001"/>
    <n v="117.55000000000001"/>
  </r>
  <r>
    <x v="0"/>
    <x v="3"/>
    <x v="0"/>
    <x v="36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  <n v="130.00769230769231"/>
    <n v="125.03333333333335"/>
    <n v="131.56666666666669"/>
    <n v="123.14999999999999"/>
    <n v="119.30000000000001"/>
  </r>
  <r>
    <x v="1"/>
    <x v="3"/>
    <x v="0"/>
    <x v="36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30.87692307692308"/>
    <n v="124.93333333333334"/>
    <n v="123.5"/>
    <n v="119.43999999999998"/>
    <n v="116.55"/>
  </r>
  <r>
    <x v="2"/>
    <x v="3"/>
    <x v="0"/>
    <x v="36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30.13076923076923"/>
    <n v="124.5"/>
    <n v="128.29999999999998"/>
    <n v="121.53999999999999"/>
    <n v="118.25"/>
  </r>
  <r>
    <x v="0"/>
    <x v="3"/>
    <x v="1"/>
    <x v="37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  <n v="129.43076923076922"/>
    <n v="125.86666666666667"/>
    <n v="132.36666666666667"/>
    <n v="123.9"/>
    <n v="120.55"/>
  </r>
  <r>
    <x v="1"/>
    <x v="3"/>
    <x v="1"/>
    <x v="37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28.93076923076922"/>
    <n v="125.33333333333333"/>
    <n v="123.86666666666667"/>
    <n v="119.51999999999998"/>
    <n v="117.85"/>
  </r>
  <r>
    <x v="2"/>
    <x v="3"/>
    <x v="1"/>
    <x v="37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29.08461538461538"/>
    <n v="125.09999999999998"/>
    <n v="128.96666666666667"/>
    <n v="122.02000000000001"/>
    <n v="119.55"/>
  </r>
  <r>
    <x v="0"/>
    <x v="3"/>
    <x v="2"/>
    <x v="38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  <n v="129.43846153846155"/>
    <n v="126.2"/>
    <n v="132.80000000000001"/>
    <n v="123.94999999999999"/>
    <n v="121.1"/>
  </r>
  <r>
    <x v="1"/>
    <x v="3"/>
    <x v="2"/>
    <x v="38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28.27692307692308"/>
    <n v="125.66666666666667"/>
    <n v="124.06666666666666"/>
    <n v="119.38"/>
    <n v="118.4"/>
  </r>
  <r>
    <x v="2"/>
    <x v="3"/>
    <x v="2"/>
    <x v="38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28.86153846153846"/>
    <n v="125.46666666666668"/>
    <n v="129.29999999999998"/>
    <n v="122.03999999999999"/>
    <n v="120.1"/>
  </r>
  <r>
    <x v="0"/>
    <x v="3"/>
    <x v="3"/>
    <x v="39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  <n v="130.89230769230772"/>
    <n v="126.8"/>
    <n v="133.33333333333334"/>
    <n v="124.32499999999999"/>
    <n v="121.80000000000001"/>
  </r>
  <r>
    <x v="1"/>
    <x v="3"/>
    <x v="3"/>
    <x v="39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31.25384615384615"/>
    <n v="126.39999999999999"/>
    <n v="124.36666666666667"/>
    <n v="120.12"/>
    <n v="118.8"/>
  </r>
  <r>
    <x v="2"/>
    <x v="3"/>
    <x v="3"/>
    <x v="39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30.86923076923077"/>
    <n v="126.06666666666666"/>
    <n v="129.73333333333335"/>
    <n v="122.64000000000001"/>
    <n v="120.65"/>
  </r>
  <r>
    <x v="0"/>
    <x v="3"/>
    <x v="4"/>
    <x v="40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  <n v="132.59230769230768"/>
    <n v="127.36666666666667"/>
    <n v="133.76666666666668"/>
    <n v="125.02500000000001"/>
    <n v="122.75"/>
  </r>
  <r>
    <x v="1"/>
    <x v="3"/>
    <x v="4"/>
    <x v="40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34.36923076923074"/>
    <n v="126.89999999999999"/>
    <n v="124.7"/>
    <n v="120.58"/>
    <n v="119.4"/>
  </r>
  <r>
    <x v="2"/>
    <x v="3"/>
    <x v="4"/>
    <x v="40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33.1076923076923"/>
    <n v="126.63333333333333"/>
    <n v="130.13333333333333"/>
    <n v="123.2"/>
    <n v="121.45"/>
  </r>
  <r>
    <x v="0"/>
    <x v="3"/>
    <x v="5"/>
    <x v="41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  <n v="134.50769230769231"/>
    <n v="128.19999999999999"/>
    <n v="134.5"/>
    <n v="125.95"/>
    <n v="123.05000000000001"/>
  </r>
  <r>
    <x v="1"/>
    <x v="3"/>
    <x v="5"/>
    <x v="41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37.46153846153848"/>
    <n v="127.40000000000002"/>
    <n v="125.09999999999998"/>
    <n v="121.16"/>
    <n v="119.69999999999999"/>
  </r>
  <r>
    <x v="2"/>
    <x v="3"/>
    <x v="5"/>
    <x v="41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35.43076923076922"/>
    <n v="127.3"/>
    <n v="130.70000000000002"/>
    <n v="123.82000000000001"/>
    <n v="121.75"/>
  </r>
  <r>
    <x v="0"/>
    <x v="3"/>
    <x v="6"/>
    <x v="42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  <n v="136.17692307692306"/>
    <n v="129"/>
    <n v="135.29999999999998"/>
    <n v="126.35000000000001"/>
    <n v="123.80000000000001"/>
  </r>
  <r>
    <x v="1"/>
    <x v="3"/>
    <x v="6"/>
    <x v="42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39.34615384615387"/>
    <n v="127.7"/>
    <n v="125.3"/>
    <n v="121.58"/>
    <n v="120.45"/>
  </r>
  <r>
    <x v="2"/>
    <x v="3"/>
    <x v="6"/>
    <x v="42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37.19230769230768"/>
    <n v="127.86666666666667"/>
    <n v="131.26666666666668"/>
    <n v="124.28000000000002"/>
    <n v="122.5"/>
  </r>
  <r>
    <x v="0"/>
    <x v="3"/>
    <x v="7"/>
    <x v="43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  <n v="136.73076923076923"/>
    <n v="129.53333333333333"/>
    <n v="135.96666666666667"/>
    <n v="126.9"/>
    <n v="124.5"/>
  </r>
  <r>
    <x v="1"/>
    <x v="3"/>
    <x v="7"/>
    <x v="43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37.2307692307692"/>
    <n v="128.03333333333333"/>
    <n v="125.66666666666667"/>
    <n v="121.55999999999999"/>
    <n v="121.05000000000001"/>
  </r>
  <r>
    <x v="2"/>
    <x v="3"/>
    <x v="7"/>
    <x v="43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36.76153846153846"/>
    <n v="128.33333333333334"/>
    <n v="131.83333333333331"/>
    <n v="124.61999999999998"/>
    <n v="123.15"/>
  </r>
  <r>
    <x v="0"/>
    <x v="3"/>
    <x v="8"/>
    <x v="44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  <n v="136.2076923076923"/>
    <n v="130.16666666666666"/>
    <n v="136.6"/>
    <n v="127.49999999999999"/>
    <n v="125.3"/>
  </r>
  <r>
    <x v="1"/>
    <x v="3"/>
    <x v="8"/>
    <x v="44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35.10769230769228"/>
    <n v="128.4"/>
    <n v="126"/>
    <n v="122.08"/>
    <n v="121.30000000000001"/>
  </r>
  <r>
    <x v="2"/>
    <x v="3"/>
    <x v="8"/>
    <x v="44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35.66923076923075"/>
    <n v="128.9"/>
    <n v="132.33333333333334"/>
    <n v="125.2"/>
    <n v="123.75"/>
  </r>
  <r>
    <x v="0"/>
    <x v="3"/>
    <x v="9"/>
    <x v="45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  <n v="136.2923076923077"/>
    <n v="131.03333333333333"/>
    <n v="137.56666666666666"/>
    <n v="128.10000000000002"/>
    <n v="125.85"/>
  </r>
  <r>
    <x v="1"/>
    <x v="3"/>
    <x v="9"/>
    <x v="45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35.6076923076923"/>
    <n v="128.79999999999998"/>
    <n v="126.33333333333333"/>
    <n v="122.62"/>
    <n v="121.3"/>
  </r>
  <r>
    <x v="2"/>
    <x v="3"/>
    <x v="9"/>
    <x v="45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35.90769230769226"/>
    <n v="129.56666666666669"/>
    <n v="133.03333333333333"/>
    <n v="125.8"/>
    <n v="124.1"/>
  </r>
  <r>
    <x v="0"/>
    <x v="3"/>
    <x v="10"/>
    <x v="46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  <n v="135.73846153846154"/>
    <n v="131.4"/>
    <n v="137.86666666666665"/>
    <n v="128.57499999999999"/>
    <n v="126.3"/>
  </r>
  <r>
    <x v="1"/>
    <x v="3"/>
    <x v="10"/>
    <x v="46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35.01538461538462"/>
    <n v="129.1"/>
    <n v="126.73333333333333"/>
    <n v="123.1"/>
    <n v="121.69999999999999"/>
  </r>
  <r>
    <x v="2"/>
    <x v="3"/>
    <x v="10"/>
    <x v="46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35.36923076923077"/>
    <n v="129.93333333333334"/>
    <n v="133.36666666666667"/>
    <n v="126.24000000000001"/>
    <n v="124.5"/>
  </r>
  <r>
    <x v="0"/>
    <x v="3"/>
    <x v="11"/>
    <x v="47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  <n v="134.54615384615383"/>
    <n v="132"/>
    <n v="138.43333333333334"/>
    <n v="129.42500000000001"/>
    <n v="125.8"/>
  </r>
  <r>
    <x v="1"/>
    <x v="3"/>
    <x v="11"/>
    <x v="47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33.06153846153845"/>
    <n v="129.4"/>
    <n v="127"/>
    <n v="123.46"/>
    <n v="121.1"/>
  </r>
  <r>
    <x v="2"/>
    <x v="3"/>
    <x v="11"/>
    <x v="47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33.9"/>
    <n v="130.4"/>
    <n v="133.83333333333334"/>
    <n v="126.67999999999999"/>
    <n v="124"/>
  </r>
  <r>
    <x v="0"/>
    <x v="4"/>
    <x v="0"/>
    <x v="48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  <n v="133.63846153846154"/>
    <n v="132.23333333333335"/>
    <n v="138.83333333333334"/>
    <n v="129.75"/>
    <n v="126.1"/>
  </r>
  <r>
    <x v="1"/>
    <x v="4"/>
    <x v="0"/>
    <x v="48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31.78461538461539"/>
    <n v="129.9"/>
    <n v="127.16666666666667"/>
    <n v="124.05999999999999"/>
    <n v="121.75"/>
  </r>
  <r>
    <x v="2"/>
    <x v="4"/>
    <x v="0"/>
    <x v="48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32.86923076923074"/>
    <n v="130.79999999999998"/>
    <n v="134.13333333333333"/>
    <n v="127.21999999999998"/>
    <n v="124.4"/>
  </r>
  <r>
    <x v="0"/>
    <x v="4"/>
    <x v="1"/>
    <x v="49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  <n v="133.42307692307693"/>
    <n v="132.79999999999998"/>
    <n v="138.96666666666667"/>
    <n v="130.29999999999998"/>
    <n v="126.65"/>
  </r>
  <r>
    <x v="1"/>
    <x v="4"/>
    <x v="1"/>
    <x v="49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31.17692307692309"/>
    <n v="130.29999999999998"/>
    <n v="127.43333333333334"/>
    <n v="124.58"/>
    <n v="122.30000000000001"/>
  </r>
  <r>
    <x v="2"/>
    <x v="4"/>
    <x v="1"/>
    <x v="49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32.48461538461541"/>
    <n v="131.26666666666668"/>
    <n v="134.33333333333334"/>
    <n v="127.78"/>
    <n v="125"/>
  </r>
  <r>
    <x v="0"/>
    <x v="4"/>
    <x v="2"/>
    <x v="50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  <n v="132.96153846153848"/>
    <n v="133.29999999999998"/>
    <n v="139.53333333333333"/>
    <n v="130.82499999999999"/>
    <n v="126.94999999999999"/>
  </r>
  <r>
    <x v="1"/>
    <x v="4"/>
    <x v="2"/>
    <x v="50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31.2076923076923"/>
    <n v="130.83333333333334"/>
    <n v="127.73333333333335"/>
    <n v="125.18000000000002"/>
    <n v="122.4"/>
  </r>
  <r>
    <x v="2"/>
    <x v="4"/>
    <x v="2"/>
    <x v="50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32.22307692307692"/>
    <n v="131.73333333333335"/>
    <n v="134.76666666666665"/>
    <n v="128.34"/>
    <n v="125.19999999999999"/>
  </r>
  <r>
    <x v="0"/>
    <x v="4"/>
    <x v="3"/>
    <x v="51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  <n v="132.7923076923077"/>
    <n v="133.4"/>
    <n v="140.26666666666668"/>
    <n v="131.05000000000001"/>
    <n v="127.35"/>
  </r>
  <r>
    <x v="1"/>
    <x v="4"/>
    <x v="3"/>
    <x v="51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31.3923076923077"/>
    <n v="131.03333333333333"/>
    <n v="128.06666666666666"/>
    <n v="125.4"/>
    <n v="122.80000000000001"/>
  </r>
  <r>
    <x v="2"/>
    <x v="4"/>
    <x v="3"/>
    <x v="51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32.1846153846154"/>
    <n v="131.86666666666667"/>
    <n v="135.36666666666667"/>
    <n v="128.6"/>
    <n v="125.6"/>
  </r>
  <r>
    <x v="0"/>
    <x v="4"/>
    <x v="4"/>
    <x v="52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  <n v="132.88461538461536"/>
    <n v="134.26666666666665"/>
    <n v="140.53333333333333"/>
    <n v="131.39999999999998"/>
    <n v="127.55000000000001"/>
  </r>
  <r>
    <x v="1"/>
    <x v="4"/>
    <x v="4"/>
    <x v="52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31.50769230769231"/>
    <n v="131.23333333333335"/>
    <n v="128.29999999999998"/>
    <n v="125.35999999999999"/>
    <n v="122.8"/>
  </r>
  <r>
    <x v="2"/>
    <x v="4"/>
    <x v="4"/>
    <x v="52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32.27692307692308"/>
    <n v="132.4"/>
    <n v="135.6"/>
    <n v="128.78"/>
    <n v="125.7"/>
  </r>
  <r>
    <x v="0"/>
    <x v="4"/>
    <x v="5"/>
    <x v="53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  <n v="133.75384615384615"/>
    <n v="134.56666666666669"/>
    <n v="141.03333333333333"/>
    <n v="131.57499999999999"/>
    <n v="127.7"/>
  </r>
  <r>
    <x v="1"/>
    <x v="4"/>
    <x v="5"/>
    <x v="53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33.15384615384616"/>
    <n v="131.4"/>
    <n v="128.29999999999998"/>
    <n v="125.08000000000001"/>
    <n v="123.15"/>
  </r>
  <r>
    <x v="2"/>
    <x v="4"/>
    <x v="5"/>
    <x v="53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33.43846153846155"/>
    <n v="132.63333333333333"/>
    <n v="135.9"/>
    <n v="128.66000000000003"/>
    <n v="125.95"/>
  </r>
  <r>
    <x v="0"/>
    <x v="4"/>
    <x v="6"/>
    <x v="54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  <n v="136.37692307692308"/>
    <n v="135.53333333333333"/>
    <n v="141.96666666666667"/>
    <n v="132.27500000000001"/>
    <n v="128.25"/>
  </r>
  <r>
    <x v="1"/>
    <x v="4"/>
    <x v="6"/>
    <x v="54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36.00769230769231"/>
    <n v="132.33333333333334"/>
    <n v="128.56666666666669"/>
    <n v="125.64000000000001"/>
    <n v="123.7"/>
  </r>
  <r>
    <x v="2"/>
    <x v="4"/>
    <x v="6"/>
    <x v="54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36.1076923076923"/>
    <n v="133.56666666666663"/>
    <n v="136.56666666666666"/>
    <n v="129.34"/>
    <n v="126.5"/>
  </r>
  <r>
    <x v="0"/>
    <x v="4"/>
    <x v="7"/>
    <x v="55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  <n v="137.88461538461536"/>
    <n v="136.73333333333332"/>
    <n v="143"/>
    <n v="133.55000000000001"/>
    <n v="129.19999999999999"/>
  </r>
  <r>
    <x v="1"/>
    <x v="4"/>
    <x v="7"/>
    <x v="55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36.38461538461536"/>
    <n v="133.33333333333334"/>
    <n v="129.46666666666667"/>
    <n v="126.25999999999999"/>
    <n v="124.5"/>
  </r>
  <r>
    <x v="2"/>
    <x v="4"/>
    <x v="7"/>
    <x v="55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37.21538461538461"/>
    <n v="134.63333333333335"/>
    <n v="137.53333333333333"/>
    <n v="130.38000000000002"/>
    <n v="127.35"/>
  </r>
  <r>
    <x v="0"/>
    <x v="4"/>
    <x v="8"/>
    <x v="56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  <n v="137.25384615384615"/>
    <n v="137.46666666666667"/>
    <n v="143.66666666666666"/>
    <n v="134.02500000000001"/>
    <n v="130.05000000000001"/>
  </r>
  <r>
    <x v="1"/>
    <x v="4"/>
    <x v="8"/>
    <x v="56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34.59230769230768"/>
    <n v="134.20000000000002"/>
    <n v="129.96666666666667"/>
    <n v="127.2"/>
    <n v="125.25"/>
  </r>
  <r>
    <x v="2"/>
    <x v="4"/>
    <x v="8"/>
    <x v="56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36.15384615384613"/>
    <n v="135.4"/>
    <n v="138.16666666666666"/>
    <n v="131.13999999999999"/>
    <n v="128.15"/>
  </r>
  <r>
    <x v="0"/>
    <x v="4"/>
    <x v="9"/>
    <x v="57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  <n v="137.76153846153846"/>
    <n v="138.06666666666666"/>
    <n v="144.66666666666666"/>
    <n v="134.4"/>
    <n v="130.80000000000001"/>
  </r>
  <r>
    <x v="1"/>
    <x v="4"/>
    <x v="9"/>
    <x v="57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35.82307692307691"/>
    <n v="134.63333333333333"/>
    <n v="130.5"/>
    <n v="127.9"/>
    <n v="125.6"/>
  </r>
  <r>
    <x v="2"/>
    <x v="4"/>
    <x v="9"/>
    <x v="57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36.89999999999998"/>
    <n v="135.9"/>
    <n v="138.96666666666667"/>
    <n v="131.76"/>
    <n v="128.75"/>
  </r>
  <r>
    <x v="0"/>
    <x v="4"/>
    <x v="10"/>
    <x v="58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  <n v="139.82307692307694"/>
    <n v="139.16666666666666"/>
    <n v="145.66666666666666"/>
    <n v="135.9"/>
    <n v="131.94999999999999"/>
  </r>
  <r>
    <x v="1"/>
    <x v="4"/>
    <x v="10"/>
    <x v="58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38.2076923076923"/>
    <n v="135.39999999999998"/>
    <n v="131.29999999999998"/>
    <n v="129"/>
    <n v="126.15"/>
  </r>
  <r>
    <x v="2"/>
    <x v="4"/>
    <x v="10"/>
    <x v="58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39.09230769230768"/>
    <n v="136.83333333333334"/>
    <n v="139.86666666666667"/>
    <n v="133.04"/>
    <n v="129.69999999999999"/>
  </r>
  <r>
    <x v="0"/>
    <x v="4"/>
    <x v="11"/>
    <x v="59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  <n v="139.50769230769231"/>
    <n v="139.5"/>
    <n v="145.69999999999999"/>
    <n v="136.30000000000001"/>
    <n v="131.94999999999999"/>
  </r>
  <r>
    <x v="1"/>
    <x v="4"/>
    <x v="11"/>
    <x v="59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35.96153846153845"/>
    <n v="135.9"/>
    <n v="131.73333333333332"/>
    <n v="129.44"/>
    <n v="126.39999999999999"/>
  </r>
  <r>
    <x v="2"/>
    <x v="4"/>
    <x v="11"/>
    <x v="59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38.07692307692307"/>
    <n v="137.26666666666665"/>
    <n v="140.06666666666666"/>
    <n v="133.47999999999999"/>
    <n v="129.80000000000001"/>
  </r>
  <r>
    <x v="0"/>
    <x v="5"/>
    <x v="0"/>
    <x v="6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  <n v="138.51538461538462"/>
    <n v="140.06666666666666"/>
    <n v="146.03333333333333"/>
    <n v="136.6"/>
    <n v="132.30000000000001"/>
  </r>
  <r>
    <x v="1"/>
    <x v="5"/>
    <x v="0"/>
    <x v="6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34.48461538461541"/>
    <n v="136.56666666666666"/>
    <n v="132.1"/>
    <n v="130.12"/>
    <n v="127.25"/>
  </r>
  <r>
    <x v="2"/>
    <x v="5"/>
    <x v="0"/>
    <x v="6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36.91538461538462"/>
    <n v="137.83333333333334"/>
    <n v="140.43333333333334"/>
    <n v="134.04"/>
    <n v="130.30000000000001"/>
  </r>
  <r>
    <x v="0"/>
    <x v="5"/>
    <x v="1"/>
    <x v="6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  <n v="137.03846153846155"/>
    <n v="140.03333333333333"/>
    <n v="146.30000000000001"/>
    <n v="136.77500000000001"/>
    <n v="132.5"/>
  </r>
  <r>
    <x v="1"/>
    <x v="5"/>
    <x v="1"/>
    <x v="6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32.91538461538462"/>
    <n v="137.43333333333334"/>
    <n v="132.36666666666665"/>
    <n v="130.61999999999998"/>
    <n v="128"/>
  </r>
  <r>
    <x v="2"/>
    <x v="5"/>
    <x v="1"/>
    <x v="6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35.4153846153846"/>
    <n v="138.13333333333333"/>
    <n v="140.66666666666666"/>
    <n v="134.47999999999999"/>
    <n v="130.75"/>
  </r>
  <r>
    <x v="0"/>
    <x v="5"/>
    <x v="2"/>
    <x v="6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  <n v="137.07692307692307"/>
    <n v="141.16666666666666"/>
    <n v="146.83333333333334"/>
    <n v="137.44999999999999"/>
    <n v="133"/>
  </r>
  <r>
    <x v="1"/>
    <x v="5"/>
    <x v="2"/>
    <x v="6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31.96153846153845"/>
    <n v="137.86666666666667"/>
    <n v="132.86666666666665"/>
    <n v="130.95999999999998"/>
    <n v="128.6"/>
  </r>
  <r>
    <x v="2"/>
    <x v="5"/>
    <x v="2"/>
    <x v="6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35.07692307692307"/>
    <n v="139.00000000000003"/>
    <n v="141.20000000000002"/>
    <n v="134.98000000000002"/>
    <n v="131.25"/>
  </r>
  <r>
    <x v="0"/>
    <x v="5"/>
    <x v="3"/>
    <x v="6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  <n v="136.92307692307693"/>
    <n v="142.1"/>
    <n v="147.5"/>
    <n v="138.42500000000001"/>
    <n v="134"/>
  </r>
  <r>
    <x v="1"/>
    <x v="5"/>
    <x v="3"/>
    <x v="6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32.30769230769232"/>
    <n v="138.33333333333331"/>
    <n v="133.80000000000001"/>
    <n v="131.58000000000001"/>
    <n v="129.44999999999999"/>
  </r>
  <r>
    <x v="2"/>
    <x v="5"/>
    <x v="3"/>
    <x v="6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35.16153846153847"/>
    <n v="139.83333333333334"/>
    <n v="142"/>
    <n v="135.85999999999999"/>
    <n v="132.19999999999999"/>
  </r>
  <r>
    <x v="0"/>
    <x v="5"/>
    <x v="4"/>
    <x v="6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  <n v="137.1076923076923"/>
    <n v="142.96666666666667"/>
    <n v="148.23333333333332"/>
    <n v="139.22499999999999"/>
    <n v="134.80000000000001"/>
  </r>
  <r>
    <x v="1"/>
    <x v="5"/>
    <x v="4"/>
    <x v="6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32.53076923076921"/>
    <n v="139.06666666666669"/>
    <n v="134.5"/>
    <n v="132.11999999999998"/>
    <n v="130.05000000000001"/>
  </r>
  <r>
    <x v="2"/>
    <x v="5"/>
    <x v="4"/>
    <x v="6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35.36923076923077"/>
    <n v="140.60000000000002"/>
    <n v="142.69999999999999"/>
    <n v="136.5"/>
    <n v="132.94999999999999"/>
  </r>
  <r>
    <x v="0"/>
    <x v="5"/>
    <x v="5"/>
    <x v="6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  <n v="137.71538461538461"/>
    <n v="143.56666666666669"/>
    <n v="148.76666666666668"/>
    <n v="139.94999999999999"/>
    <n v="134.9"/>
  </r>
  <r>
    <x v="1"/>
    <x v="5"/>
    <x v="5"/>
    <x v="6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34.40769230769232"/>
    <n v="139.66666666666666"/>
    <n v="135"/>
    <n v="132.74"/>
    <n v="130.39999999999998"/>
  </r>
  <r>
    <x v="2"/>
    <x v="5"/>
    <x v="5"/>
    <x v="6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36.46923076923079"/>
    <n v="141.16666666666666"/>
    <n v="143.23333333333332"/>
    <n v="137"/>
    <n v="133.14999999999998"/>
  </r>
  <r>
    <x v="0"/>
    <x v="5"/>
    <x v="6"/>
    <x v="6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  <n v="139.26923076923077"/>
    <n v="143.5"/>
    <n v="149.06666666666669"/>
    <n v="140.80000000000001"/>
    <n v="135.19999999999999"/>
  </r>
  <r>
    <x v="1"/>
    <x v="5"/>
    <x v="6"/>
    <x v="6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36.23846153846154"/>
    <n v="140.19999999999999"/>
    <n v="135.46666666666667"/>
    <n v="133.88"/>
    <n v="130.89999999999998"/>
  </r>
  <r>
    <x v="2"/>
    <x v="5"/>
    <x v="6"/>
    <x v="6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38.1"/>
    <n v="141.26666666666668"/>
    <n v="143.60000000000002"/>
    <n v="138.04000000000002"/>
    <n v="133.55000000000001"/>
  </r>
  <r>
    <x v="0"/>
    <x v="5"/>
    <x v="7"/>
    <x v="6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  <n v="139.90769230769232"/>
    <n v="143.86666666666667"/>
    <n v="149.73333333333332"/>
    <n v="141.67500000000001"/>
    <n v="135.35000000000002"/>
  </r>
  <r>
    <x v="1"/>
    <x v="5"/>
    <x v="7"/>
    <x v="6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35.96923076923076"/>
    <n v="140.96666666666667"/>
    <n v="135.76666666666668"/>
    <n v="134.95999999999998"/>
    <n v="131.60000000000002"/>
  </r>
  <r>
    <x v="2"/>
    <x v="5"/>
    <x v="7"/>
    <x v="6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38.36153846153849"/>
    <n v="141.79999999999998"/>
    <n v="144.06666666666669"/>
    <n v="139.04"/>
    <n v="133.89999999999998"/>
  </r>
  <r>
    <x v="0"/>
    <x v="5"/>
    <x v="8"/>
    <x v="6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  <n v="138.44615384615386"/>
    <n v="145.03333333333333"/>
    <n v="149.83333333333334"/>
    <n v="142.625"/>
    <n v="136"/>
  </r>
  <r>
    <x v="1"/>
    <x v="5"/>
    <x v="8"/>
    <x v="6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34.49230769230769"/>
    <n v="141.79999999999998"/>
    <n v="136.4"/>
    <n v="135.82"/>
    <n v="132.5"/>
  </r>
  <r>
    <x v="2"/>
    <x v="5"/>
    <x v="8"/>
    <x v="6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36.88461538461539"/>
    <n v="142.79999999999998"/>
    <n v="144.43333333333331"/>
    <n v="139.9"/>
    <n v="134.65"/>
  </r>
  <r>
    <x v="0"/>
    <x v="5"/>
    <x v="9"/>
    <x v="6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  <n v="137.09230769230768"/>
    <n v="146.5"/>
    <n v="148.33333333333334"/>
    <n v="144"/>
    <n v="139.60000000000002"/>
  </r>
  <r>
    <x v="1"/>
    <x v="5"/>
    <x v="9"/>
    <x v="6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34.93076923076922"/>
    <n v="142.4"/>
    <n v="137"/>
    <n v="136.72"/>
    <n v="133.30000000000001"/>
  </r>
  <r>
    <x v="2"/>
    <x v="5"/>
    <x v="9"/>
    <x v="6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36.63076923076923"/>
    <n v="145.13333333333335"/>
    <n v="144.66666666666666"/>
    <n v="141.54000000000002"/>
    <n v="137.05000000000001"/>
  </r>
  <r>
    <x v="0"/>
    <x v="5"/>
    <x v="10"/>
    <x v="7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  <n v="137.49999999999997"/>
    <n v="148.36666666666667"/>
    <n v="149.33333333333334"/>
    <n v="144.69999999999999"/>
    <n v="139.25"/>
  </r>
  <r>
    <x v="1"/>
    <x v="5"/>
    <x v="10"/>
    <x v="7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35.19230769230768"/>
    <n v="142.63333333333335"/>
    <n v="137.70000000000002"/>
    <n v="137.34"/>
    <n v="133.65"/>
  </r>
  <r>
    <x v="2"/>
    <x v="5"/>
    <x v="10"/>
    <x v="7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36.59230769230771"/>
    <n v="145.13333333333335"/>
    <n v="144.6"/>
    <n v="141.5"/>
    <n v="137.05000000000001"/>
  </r>
  <r>
    <x v="0"/>
    <x v="5"/>
    <x v="11"/>
    <x v="7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  <n v="136.3923076923077"/>
    <n v="149.10000000000002"/>
    <n v="149.43333333333334"/>
    <n v="145.625"/>
    <n v="141.39999999999998"/>
  </r>
  <r>
    <x v="1"/>
    <x v="5"/>
    <x v="11"/>
    <x v="7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34.35384615384615"/>
    <n v="142.66666666666666"/>
    <n v="137.93333333333334"/>
    <n v="136.07999999999998"/>
    <n v="134.05000000000001"/>
  </r>
  <r>
    <x v="2"/>
    <x v="5"/>
    <x v="11"/>
    <x v="7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35.59999999999997"/>
    <n v="145.53333333333333"/>
    <n v="144.76666666666668"/>
    <n v="141.22"/>
    <n v="138.55000000000001"/>
  </r>
  <r>
    <x v="0"/>
    <x v="6"/>
    <x v="0"/>
    <x v="72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  <n v="135.35384615384618"/>
    <n v="149.1"/>
    <n v="148.53333333333333"/>
    <n v="145.02499999999998"/>
    <n v="141.55000000000001"/>
  </r>
  <r>
    <x v="1"/>
    <x v="6"/>
    <x v="0"/>
    <x v="72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34.17692307692309"/>
    <n v="142.80000000000001"/>
    <n v="138.16666666666666"/>
    <n v="135.56"/>
    <n v="134.75"/>
  </r>
  <r>
    <x v="2"/>
    <x v="6"/>
    <x v="0"/>
    <x v="72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34.87692307692308"/>
    <n v="145.6"/>
    <n v="144.33333333333334"/>
    <n v="140.85999999999999"/>
    <n v="138.94999999999999"/>
  </r>
  <r>
    <x v="0"/>
    <x v="6"/>
    <x v="1"/>
    <x v="73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  <n v="135.3692307692308"/>
    <n v="149.46666666666667"/>
    <n v="148.83333333333334"/>
    <n v="145.02499999999998"/>
    <n v="142.4"/>
  </r>
  <r>
    <x v="1"/>
    <x v="6"/>
    <x v="1"/>
    <x v="73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34.95384615384617"/>
    <n v="143.16666666666666"/>
    <n v="138.5"/>
    <n v="135.60000000000002"/>
    <n v="135.75"/>
  </r>
  <r>
    <x v="2"/>
    <x v="6"/>
    <x v="1"/>
    <x v="73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35.16153846153844"/>
    <n v="145.96666666666667"/>
    <n v="144.63333333333333"/>
    <n v="140.95999999999998"/>
    <n v="139.85"/>
  </r>
  <r>
    <x v="0"/>
    <x v="6"/>
    <x v="2"/>
    <x v="74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  <n v="135.4769230769231"/>
    <n v="149.70000000000002"/>
    <n v="149"/>
    <n v="145.44999999999999"/>
    <n v="142.19999999999999"/>
  </r>
  <r>
    <x v="1"/>
    <x v="6"/>
    <x v="2"/>
    <x v="74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36.03076923076924"/>
    <n v="143.70000000000002"/>
    <n v="138.76666666666665"/>
    <n v="136.24"/>
    <n v="135.85"/>
  </r>
  <r>
    <x v="2"/>
    <x v="6"/>
    <x v="2"/>
    <x v="74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35.6076923076923"/>
    <n v="146.29999999999998"/>
    <n v="144.83333333333334"/>
    <n v="141.48000000000002"/>
    <n v="139.80000000000001"/>
  </r>
  <r>
    <x v="0"/>
    <x v="6"/>
    <x v="4"/>
    <x v="75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  <n v="137.0846153846154"/>
    <n v="150.70000000000002"/>
    <n v="149.53333333333333"/>
    <n v="145.82499999999999"/>
    <n v="142.60000000000002"/>
  </r>
  <r>
    <x v="1"/>
    <x v="6"/>
    <x v="4"/>
    <x v="75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39.34615384615387"/>
    <n v="144.5"/>
    <n v="139.29999999999998"/>
    <n v="136.95999999999998"/>
    <n v="136.19999999999999"/>
  </r>
  <r>
    <x v="2"/>
    <x v="6"/>
    <x v="4"/>
    <x v="75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37.83846153846156"/>
    <n v="147.16666666666666"/>
    <n v="145.36666666666667"/>
    <n v="142.12"/>
    <n v="140.15"/>
  </r>
  <r>
    <x v="0"/>
    <x v="6"/>
    <x v="5"/>
    <x v="76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  <n v="138.78461538461536"/>
    <n v="151.30000000000001"/>
    <n v="149.53333333333333"/>
    <n v="146.32499999999999"/>
    <n v="143.25"/>
  </r>
  <r>
    <x v="1"/>
    <x v="6"/>
    <x v="5"/>
    <x v="76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41.0230769230769"/>
    <n v="144.86666666666667"/>
    <n v="139.46666666666667"/>
    <n v="137.16"/>
    <n v="137"/>
  </r>
  <r>
    <x v="2"/>
    <x v="6"/>
    <x v="5"/>
    <x v="76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39.54615384615386"/>
    <n v="147.70000000000002"/>
    <n v="145.46666666666667"/>
    <n v="142.30000000000001"/>
    <n v="140.85000000000002"/>
  </r>
  <r>
    <x v="0"/>
    <x v="6"/>
    <x v="6"/>
    <x v="77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  <n v="140.53076923076921"/>
    <n v="152.06666666666666"/>
    <n v="149.70000000000002"/>
    <n v="146.77500000000001"/>
    <n v="144.14999999999998"/>
  </r>
  <r>
    <x v="1"/>
    <x v="6"/>
    <x v="6"/>
    <x v="77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42.87692307692308"/>
    <n v="145.56666666666666"/>
    <n v="139.76666666666668"/>
    <n v="137.26"/>
    <n v="137.94999999999999"/>
  </r>
  <r>
    <x v="2"/>
    <x v="6"/>
    <x v="6"/>
    <x v="77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41.34615384615384"/>
    <n v="148.4"/>
    <n v="145.66666666666666"/>
    <n v="142.73999999999998"/>
    <n v="141.80000000000001"/>
  </r>
  <r>
    <x v="0"/>
    <x v="6"/>
    <x v="7"/>
    <x v="78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  <n v="141.11538461538464"/>
    <n v="152.66666666666666"/>
    <n v="149.83333333333334"/>
    <n v="146.92500000000001"/>
    <n v="145.75"/>
  </r>
  <r>
    <x v="1"/>
    <x v="6"/>
    <x v="7"/>
    <x v="78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43.77692307692308"/>
    <n v="146.20000000000002"/>
    <n v="140.06666666666666"/>
    <n v="137.5"/>
    <n v="139.65"/>
  </r>
  <r>
    <x v="2"/>
    <x v="6"/>
    <x v="7"/>
    <x v="78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42.03846153846155"/>
    <n v="148.96666666666667"/>
    <n v="145.86666666666667"/>
    <n v="143.06"/>
    <n v="143.44999999999999"/>
  </r>
  <r>
    <x v="0"/>
    <x v="6"/>
    <x v="8"/>
    <x v="79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  <n v="142.2076923076923"/>
    <n v="153.13333333333333"/>
    <n v="149.76666666666665"/>
    <n v="147.25"/>
    <n v="146.80000000000001"/>
  </r>
  <r>
    <x v="1"/>
    <x v="6"/>
    <x v="8"/>
    <x v="7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44.22307692307692"/>
    <n v="146.73333333333332"/>
    <n v="140.26666666666668"/>
    <n v="137.97999999999999"/>
    <n v="140.44999999999999"/>
  </r>
  <r>
    <x v="2"/>
    <x v="6"/>
    <x v="8"/>
    <x v="79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42.89999999999998"/>
    <n v="149.5"/>
    <n v="145.89999999999998"/>
    <n v="143.45999999999998"/>
    <n v="144.35"/>
  </r>
  <r>
    <x v="0"/>
    <x v="6"/>
    <x v="9"/>
    <x v="80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44.37692307692305"/>
    <n v="153.56666666666666"/>
    <n v="149.79999999999998"/>
    <n v="147.67499999999998"/>
    <n v="147"/>
  </r>
  <r>
    <x v="1"/>
    <x v="6"/>
    <x v="9"/>
    <x v="80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46.35384615384618"/>
    <n v="147.16666666666666"/>
    <n v="140.73333333333335"/>
    <n v="138.76"/>
    <n v="140.94999999999999"/>
  </r>
  <r>
    <x v="2"/>
    <x v="6"/>
    <x v="9"/>
    <x v="80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45.04615384615383"/>
    <n v="149.93333333333331"/>
    <n v="146.13333333333335"/>
    <n v="144.06"/>
    <n v="144.69999999999999"/>
  </r>
  <r>
    <x v="0"/>
    <x v="6"/>
    <x v="10"/>
    <x v="8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  <n v="146.50769230769231"/>
    <n v="154.13333333333333"/>
    <n v="150.26666666666668"/>
    <n v="148.05000000000001"/>
    <n v="147.44999999999999"/>
  </r>
  <r>
    <x v="1"/>
    <x v="6"/>
    <x v="10"/>
    <x v="8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47.99999999999997"/>
    <n v="147.63333333333335"/>
    <n v="141.03333333333333"/>
    <n v="139.66"/>
    <n v="141.30000000000001"/>
  </r>
  <r>
    <x v="2"/>
    <x v="6"/>
    <x v="10"/>
    <x v="8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46.99230769230769"/>
    <n v="150.43333333333334"/>
    <n v="146.5"/>
    <n v="144.64000000000001"/>
    <n v="145.10000000000002"/>
  </r>
  <r>
    <x v="0"/>
    <x v="6"/>
    <x v="11"/>
    <x v="8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  <n v="149.30769230769226"/>
    <n v="154.79999999999998"/>
    <n v="150.6"/>
    <n v="149.30000000000001"/>
    <n v="147.69999999999999"/>
  </r>
  <r>
    <x v="1"/>
    <x v="6"/>
    <x v="11"/>
    <x v="8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50.51538461538462"/>
    <n v="148.30000000000001"/>
    <n v="141.4"/>
    <n v="140.66"/>
    <n v="141.69999999999999"/>
  </r>
  <r>
    <x v="2"/>
    <x v="6"/>
    <x v="11"/>
    <x v="8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49.70000000000002"/>
    <n v="151.1"/>
    <n v="146.86666666666667"/>
    <n v="145.56"/>
    <n v="145.4"/>
  </r>
  <r>
    <x v="0"/>
    <x v="7"/>
    <x v="0"/>
    <x v="83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  <n v="149.12307692307692"/>
    <n v="155.6"/>
    <n v="150.76666666666668"/>
    <n v="150.02500000000001"/>
    <n v="149.1"/>
  </r>
  <r>
    <x v="1"/>
    <x v="7"/>
    <x v="0"/>
    <x v="83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49.64615384615382"/>
    <n v="148.79999999999998"/>
    <n v="141.70000000000002"/>
    <n v="141.46"/>
    <n v="142.94999999999999"/>
  </r>
  <r>
    <x v="2"/>
    <x v="7"/>
    <x v="0"/>
    <x v="83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49.26153846153846"/>
    <n v="151.79999999999998"/>
    <n v="147.06666666666666"/>
    <n v="146.34"/>
    <n v="146.75"/>
  </r>
  <r>
    <x v="0"/>
    <x v="7"/>
    <x v="1"/>
    <x v="84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  <n v="146.90769230769229"/>
    <n v="156.06666666666669"/>
    <n v="150.93333333333334"/>
    <n v="150.5"/>
    <n v="149.80000000000001"/>
  </r>
  <r>
    <x v="1"/>
    <x v="7"/>
    <x v="1"/>
    <x v="84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47.43076923076922"/>
    <n v="149.36666666666667"/>
    <n v="142"/>
    <n v="142.30000000000001"/>
    <n v="143.94999999999999"/>
  </r>
  <r>
    <x v="2"/>
    <x v="7"/>
    <x v="1"/>
    <x v="84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47.04615384615383"/>
    <n v="152.29999999999998"/>
    <n v="147.33333333333334"/>
    <n v="146.98000000000002"/>
    <n v="147.55000000000001"/>
  </r>
  <r>
    <x v="0"/>
    <x v="7"/>
    <x v="2"/>
    <x v="85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  <n v="145.73846153846151"/>
    <n v="156.76666666666665"/>
    <n v="151.16666666666666"/>
    <n v="150.47499999999999"/>
    <n v="150.89999999999998"/>
  </r>
  <r>
    <x v="1"/>
    <x v="7"/>
    <x v="2"/>
    <x v="85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46.03846153846155"/>
    <n v="149.96666666666667"/>
    <n v="142.36666666666667"/>
    <n v="142.76"/>
    <n v="145.15"/>
  </r>
  <r>
    <x v="2"/>
    <x v="7"/>
    <x v="2"/>
    <x v="85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45.80000000000001"/>
    <n v="152.9"/>
    <n v="147.63333333333335"/>
    <n v="147.16"/>
    <n v="148.75"/>
  </r>
  <r>
    <x v="0"/>
    <x v="7"/>
    <x v="3"/>
    <x v="86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  <n v="146.80000000000001"/>
    <s v="NA"/>
    <s v="NA"/>
    <n v="148.4"/>
    <n v="154.30000000000001"/>
  </r>
  <r>
    <x v="1"/>
    <x v="7"/>
    <x v="3"/>
    <x v="86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  <n v="148.79090909090908"/>
    <s v="NA"/>
    <s v="NA"/>
    <n v="146.35"/>
    <n v="144.80000000000001"/>
  </r>
  <r>
    <x v="2"/>
    <x v="7"/>
    <x v="3"/>
    <x v="86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  <n v="147.51818181818183"/>
    <s v="NA"/>
    <s v="NA"/>
    <n v="149.85"/>
    <n v="150.69999999999999"/>
  </r>
  <r>
    <x v="0"/>
    <x v="7"/>
    <x v="4"/>
    <x v="8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"/>
    <x v="7"/>
    <x v="4"/>
    <x v="8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2"/>
    <x v="7"/>
    <x v="4"/>
    <x v="8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0"/>
    <x v="7"/>
    <x v="5"/>
    <x v="88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62.43333333333334"/>
    <n v="152.93333333333331"/>
    <n v="149.94999999999999"/>
    <n v="154.69999999999999"/>
  </r>
  <r>
    <x v="1"/>
    <x v="7"/>
    <x v="5"/>
    <x v="88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57.73333333333332"/>
    <n v="144.29999999999998"/>
    <n v="142.80000000000001"/>
    <n v="150.14999999999998"/>
  </r>
  <r>
    <x v="2"/>
    <x v="7"/>
    <x v="5"/>
    <x v="88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59.6"/>
    <n v="149.43333333333331"/>
    <n v="146.88"/>
    <n v="153"/>
  </r>
  <r>
    <x v="0"/>
    <x v="7"/>
    <x v="6"/>
    <x v="8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62.43333333333334"/>
    <n v="152.93333333333331"/>
    <n v="149.94999999999999"/>
    <n v="154.69999999999999"/>
  </r>
  <r>
    <x v="1"/>
    <x v="7"/>
    <x v="6"/>
    <x v="8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57.73333333333332"/>
    <n v="144.29999999999998"/>
    <n v="142.80000000000001"/>
    <n v="150.14999999999998"/>
  </r>
  <r>
    <x v="2"/>
    <x v="7"/>
    <x v="6"/>
    <x v="8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59.6"/>
    <n v="149.43333333333331"/>
    <n v="146.88"/>
    <n v="153"/>
  </r>
  <r>
    <x v="0"/>
    <x v="7"/>
    <x v="7"/>
    <x v="90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  <n v="152.19999999999999"/>
    <n v="162.03333333333333"/>
    <n v="152.9"/>
    <n v="151"/>
    <n v="156.19999999999999"/>
  </r>
  <r>
    <x v="1"/>
    <x v="7"/>
    <x v="7"/>
    <x v="90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155.76153846153846"/>
    <n v="157.73333333333332"/>
    <n v="144.33333333333334"/>
    <n v="145.54000000000002"/>
    <n v="151.94999999999999"/>
  </r>
  <r>
    <x v="2"/>
    <x v="7"/>
    <x v="7"/>
    <x v="90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53.47692307692307"/>
    <n v="159.20000000000002"/>
    <n v="149.4"/>
    <n v="148.78"/>
    <n v="154.65"/>
  </r>
  <r>
    <x v="0"/>
    <x v="7"/>
    <x v="8"/>
    <x v="91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  <n v="152.87692307692308"/>
    <n v="163.13333333333335"/>
    <n v="153.29999999999998"/>
    <n v="150.92500000000001"/>
    <n v="158.25"/>
  </r>
  <r>
    <x v="1"/>
    <x v="7"/>
    <x v="8"/>
    <x v="9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157.04615384615386"/>
    <n v="158.83333333333334"/>
    <n v="144.86666666666667"/>
    <n v="145.78"/>
    <n v="154.9"/>
  </r>
  <r>
    <x v="2"/>
    <x v="7"/>
    <x v="8"/>
    <x v="91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154.38461538461539"/>
    <n v="160.33333333333334"/>
    <n v="149.9"/>
    <n v="149"/>
    <n v="157"/>
  </r>
  <r>
    <x v="0"/>
    <x v="7"/>
    <x v="9"/>
    <x v="92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  <n v="156.22307692307692"/>
    <n v="163.13333333333335"/>
    <n v="153.76666666666665"/>
    <n v="151.92500000000001"/>
    <n v="157.85"/>
  </r>
  <r>
    <x v="1"/>
    <x v="7"/>
    <x v="9"/>
    <x v="92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160.01538461538459"/>
    <n v="158.96666666666667"/>
    <n v="144.96666666666667"/>
    <n v="145.95999999999998"/>
    <n v="154.55000000000001"/>
  </r>
  <r>
    <x v="2"/>
    <x v="7"/>
    <x v="9"/>
    <x v="92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157.5846153846154"/>
    <n v="160.4"/>
    <n v="150.19999999999999"/>
    <n v="149.47999999999999"/>
    <n v="156.65"/>
  </r>
  <r>
    <x v="0"/>
    <x v="7"/>
    <x v="10"/>
    <x v="93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  <n v="160.1846153846154"/>
    <n v="163.83333333333334"/>
    <n v="154.26666666666668"/>
    <n v="152"/>
    <n v="158.30000000000001"/>
  </r>
  <r>
    <x v="1"/>
    <x v="7"/>
    <x v="10"/>
    <x v="93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163.1307692307692"/>
    <n v="159.93333333333337"/>
    <n v="145.43333333333334"/>
    <n v="146.39999999999998"/>
    <n v="154.94999999999999"/>
  </r>
  <r>
    <x v="2"/>
    <x v="7"/>
    <x v="10"/>
    <x v="93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161.19999999999999"/>
    <n v="161.30000000000001"/>
    <n v="150.66666666666669"/>
    <n v="149.96"/>
    <n v="157.05000000000001"/>
  </r>
  <r>
    <x v="0"/>
    <x v="7"/>
    <x v="11"/>
    <x v="94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  <n v="161.57692307692307"/>
    <n v="164.23333333333332"/>
    <n v="154.96666666666667"/>
    <n v="152.85"/>
    <n v="159.1"/>
  </r>
  <r>
    <x v="1"/>
    <x v="7"/>
    <x v="11"/>
    <x v="94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163.49230769230769"/>
    <n v="160.46666666666667"/>
    <n v="146.06666666666669"/>
    <n v="146.83999999999997"/>
    <n v="155.4"/>
  </r>
  <r>
    <x v="2"/>
    <x v="7"/>
    <x v="11"/>
    <x v="94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162.23846153846154"/>
    <n v="161.69999999999999"/>
    <n v="151.33333333333334"/>
    <n v="150.56"/>
    <n v="157.69999999999999"/>
  </r>
  <r>
    <x v="0"/>
    <x v="8"/>
    <x v="0"/>
    <x v="95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  <n v="158.89999999999998"/>
    <n v="165.20000000000002"/>
    <n v="155.56666666666666"/>
    <n v="153.94999999999999"/>
    <n v="159.35"/>
  </r>
  <r>
    <x v="1"/>
    <x v="8"/>
    <x v="0"/>
    <x v="95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161.30769230769232"/>
    <n v="161.60000000000002"/>
    <n v="146.66666666666666"/>
    <n v="147.86000000000001"/>
    <n v="155.89999999999998"/>
  </r>
  <r>
    <x v="2"/>
    <x v="8"/>
    <x v="0"/>
    <x v="95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159.73076923076923"/>
    <n v="162.66666666666666"/>
    <n v="151.93333333333334"/>
    <n v="151.34"/>
    <n v="158.05000000000001"/>
  </r>
  <r>
    <x v="0"/>
    <x v="8"/>
    <x v="1"/>
    <x v="96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  <n v="155.7923076923077"/>
    <n v="166.9"/>
    <n v="157.13333333333333"/>
    <n v="155.75"/>
    <n v="159.75"/>
  </r>
  <r>
    <x v="1"/>
    <x v="8"/>
    <x v="1"/>
    <x v="96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158.92307692307693"/>
    <n v="163.30000000000001"/>
    <n v="148.06666666666666"/>
    <n v="150.5"/>
    <n v="156.5"/>
  </r>
  <r>
    <x v="2"/>
    <x v="8"/>
    <x v="1"/>
    <x v="96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156.8692307692308"/>
    <n v="164.4"/>
    <n v="153.46666666666667"/>
    <n v="153.54000000000002"/>
    <n v="158.55000000000001"/>
  </r>
  <r>
    <x v="0"/>
    <x v="8"/>
    <x v="2"/>
    <x v="97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155.82307692307694"/>
    <n v="167.06666666666666"/>
    <n v="157.63333333333333"/>
    <n v="156.47500000000002"/>
    <n v="158.85"/>
  </r>
  <r>
    <x v="1"/>
    <x v="8"/>
    <x v="2"/>
    <x v="97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158.80769230769226"/>
    <n v="164.03333333333333"/>
    <n v="148.79999999999998"/>
    <n v="152.24"/>
    <n v="155.9"/>
  </r>
  <r>
    <x v="2"/>
    <x v="8"/>
    <x v="2"/>
    <x v="97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156.87692307692308"/>
    <n v="164.83333333333334"/>
    <n v="154.03333333333333"/>
    <n v="154.6"/>
    <n v="157.75"/>
  </r>
  <r>
    <x v="0"/>
    <x v="8"/>
    <x v="3"/>
    <x v="98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157.65384615384616"/>
    <n v="167.79999999999998"/>
    <n v="158.56666666666663"/>
    <n v="156.82499999999999"/>
    <n v="159.94999999999999"/>
  </r>
  <r>
    <x v="1"/>
    <x v="8"/>
    <x v="3"/>
    <x v="98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160.73846153846154"/>
    <n v="164.66666666666666"/>
    <n v="149.53333333333333"/>
    <n v="152.72"/>
    <n v="157.05000000000001"/>
  </r>
  <r>
    <x v="2"/>
    <x v="8"/>
    <x v="3"/>
    <x v="98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158.77692307692308"/>
    <n v="165.46666666666667"/>
    <n v="154.86666666666667"/>
    <n v="155.14000000000001"/>
    <n v="158.85000000000002"/>
  </r>
  <r>
    <x v="0"/>
    <x v="8"/>
    <x v="4"/>
    <x v="99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  <n v="161.17692307692306"/>
    <n v="170.23333333333335"/>
    <n v="163.46666666666667"/>
    <n v="160.32499999999999"/>
    <n v="164.2"/>
  </r>
  <r>
    <x v="1"/>
    <x v="8"/>
    <x v="4"/>
    <x v="99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163.43846153846155"/>
    <n v="167.7"/>
    <n v="150.26666666666665"/>
    <n v="153.76000000000002"/>
    <n v="158.94999999999999"/>
  </r>
  <r>
    <x v="2"/>
    <x v="8"/>
    <x v="4"/>
    <x v="99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161.9769230769231"/>
    <n v="168.16666666666669"/>
    <n v="158.1"/>
    <n v="157.16"/>
    <n v="162.19999999999999"/>
  </r>
  <r>
    <x v="0"/>
    <x v="8"/>
    <x v="5"/>
    <x v="100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  <n v="163.27692307692308"/>
    <n v="170.33333333333334"/>
    <n v="163.26666666666668"/>
    <n v="160.57499999999999"/>
    <n v="164.55"/>
  </r>
  <r>
    <x v="1"/>
    <x v="8"/>
    <x v="5"/>
    <x v="100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165.7076923076923"/>
    <n v="166.56666666666663"/>
    <n v="150.86666666666667"/>
    <n v="154.40000000000003"/>
    <n v="159.4"/>
  </r>
  <r>
    <x v="2"/>
    <x v="8"/>
    <x v="5"/>
    <x v="100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164.14615384615385"/>
    <n v="167.76666666666668"/>
    <n v="158.23333333333332"/>
    <n v="157.5"/>
    <n v="162.55000000000001"/>
  </r>
  <r>
    <x v="0"/>
    <x v="8"/>
    <x v="6"/>
    <x v="101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  <n v="164.03076923076924"/>
    <n v="171.06666666666669"/>
    <n v="164.13333333333335"/>
    <n v="161.77499999999998"/>
    <n v="165.4"/>
  </r>
  <r>
    <x v="1"/>
    <x v="8"/>
    <x v="6"/>
    <x v="101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167.06153846153848"/>
    <n v="167.23333333333332"/>
    <n v="151.76666666666668"/>
    <n v="155.94"/>
    <n v="160.55000000000001"/>
  </r>
  <r>
    <x v="2"/>
    <x v="8"/>
    <x v="6"/>
    <x v="101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165.15384615384616"/>
    <n v="168.5"/>
    <n v="159.1"/>
    <n v="158.85999999999999"/>
    <n v="163.55000000000001"/>
  </r>
  <r>
    <x v="0"/>
    <x v="8"/>
    <x v="7"/>
    <x v="102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  <n v="163.90769230769232"/>
    <n v="171.5333333333333"/>
    <n v="165.3"/>
    <n v="162.30000000000001"/>
    <n v="165.7"/>
  </r>
  <r>
    <x v="1"/>
    <x v="8"/>
    <x v="7"/>
    <x v="102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165.99230769230769"/>
    <n v="168.73333333333332"/>
    <n v="153.56666666666666"/>
    <n v="157.35999999999999"/>
    <n v="161.19999999999999"/>
  </r>
  <r>
    <x v="2"/>
    <x v="8"/>
    <x v="7"/>
    <x v="102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164.76923076923077"/>
    <n v="169.9"/>
    <n v="161"/>
    <n v="160"/>
    <n v="164.2"/>
  </r>
  <r>
    <x v="0"/>
    <x v="8"/>
    <x v="8"/>
    <x v="103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  <n v="164.12307692307692"/>
    <n v="172.33333333333334"/>
    <n v="166.13333333333333"/>
    <n v="162.82499999999999"/>
    <n v="166.05"/>
  </r>
  <r>
    <x v="1"/>
    <x v="8"/>
    <x v="8"/>
    <x v="103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165.99230769230769"/>
    <n v="168.79999999999998"/>
    <n v="153.6"/>
    <n v="157.4"/>
    <n v="161.19999999999999"/>
  </r>
  <r>
    <x v="2"/>
    <x v="8"/>
    <x v="8"/>
    <x v="103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164.76923076923077"/>
    <n v="169.93333333333331"/>
    <n v="161.06666666666666"/>
    <n v="159.98000000000002"/>
    <n v="164.2"/>
  </r>
  <r>
    <x v="0"/>
    <x v="8"/>
    <x v="9"/>
    <x v="104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  <n v="166.47692307692307"/>
    <n v="173.0333333333333"/>
    <n v="167.33333333333334"/>
    <n v="164"/>
    <n v="166.8"/>
  </r>
  <r>
    <x v="1"/>
    <x v="8"/>
    <x v="9"/>
    <x v="104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169.10769230769236"/>
    <n v="169.70000000000002"/>
    <n v="154.50000000000003"/>
    <n v="158.51999999999998"/>
    <n v="161.9"/>
  </r>
  <r>
    <x v="2"/>
    <x v="8"/>
    <x v="9"/>
    <x v="104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167.34615384615384"/>
    <n v="170.76666666666665"/>
    <n v="162.1"/>
    <n v="161.15999999999997"/>
    <n v="164.95"/>
  </r>
  <r>
    <x v="0"/>
    <x v="8"/>
    <x v="10"/>
    <x v="105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  <n v="167.84615384615384"/>
    <n v="173.4666666666667"/>
    <n v="168.73333333333332"/>
    <n v="164.10000000000002"/>
    <n v="167.9"/>
  </r>
  <r>
    <x v="1"/>
    <x v="8"/>
    <x v="10"/>
    <x v="105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170.60769230769228"/>
    <n v="170.33333333333334"/>
    <n v="155.76666666666668"/>
    <n v="158.6"/>
    <n v="163"/>
  </r>
  <r>
    <x v="2"/>
    <x v="8"/>
    <x v="10"/>
    <x v="105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168.77692307692308"/>
    <n v="171.36666666666667"/>
    <n v="163.46666666666667"/>
    <n v="161.30000000000001"/>
    <n v="166.05"/>
  </r>
  <r>
    <x v="0"/>
    <x v="8"/>
    <x v="11"/>
    <x v="106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  <n v="166.78461538461536"/>
    <n v="173.76666666666665"/>
    <n v="170.1"/>
    <n v="164.82499999999999"/>
    <n v="168.4"/>
  </r>
  <r>
    <x v="1"/>
    <x v="8"/>
    <x v="11"/>
    <x v="106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169.71538461538464"/>
    <n v="170.73333333333335"/>
    <n v="156.9"/>
    <n v="158.70000000000002"/>
    <n v="163.75"/>
  </r>
  <r>
    <x v="2"/>
    <x v="8"/>
    <x v="11"/>
    <x v="106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167.76153846153846"/>
    <n v="171.66666666666666"/>
    <n v="164.73333333333332"/>
    <n v="161.56"/>
    <n v="166.6"/>
  </r>
  <r>
    <x v="0"/>
    <x v="9"/>
    <x v="0"/>
    <x v="107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  <n v="165.61538461538461"/>
    <n v="174.06666666666669"/>
    <n v="171.73333333333335"/>
    <n v="165.35000000000002"/>
    <n v="168.95"/>
  </r>
  <r>
    <x v="1"/>
    <x v="9"/>
    <x v="0"/>
    <x v="107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168.2076923076923"/>
    <n v="171.13333333333333"/>
    <n v="158.46666666666667"/>
    <n v="159.32"/>
    <n v="164.45"/>
  </r>
  <r>
    <x v="2"/>
    <x v="9"/>
    <x v="0"/>
    <x v="107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166.47692307692307"/>
    <n v="172.0333333333333"/>
    <n v="166.36666666666667"/>
    <n v="162.19999999999999"/>
    <n v="167.2"/>
  </r>
  <r>
    <x v="0"/>
    <x v="9"/>
    <x v="1"/>
    <x v="108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  <n v="165.41538461538462"/>
    <n v="174.76666666666665"/>
    <n v="172.93333333333331"/>
    <n v="166.15"/>
    <n v="169.9"/>
  </r>
  <r>
    <x v="1"/>
    <x v="9"/>
    <x v="1"/>
    <x v="108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167.96153846153845"/>
    <n v="171.79999999999998"/>
    <n v="159.83333333333334"/>
    <n v="160.19999999999999"/>
    <n v="165.7"/>
  </r>
  <r>
    <x v="2"/>
    <x v="9"/>
    <x v="1"/>
    <x v="108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166.24615384615387"/>
    <n v="172.79999999999998"/>
    <n v="167.60000000000002"/>
    <n v="163.06"/>
    <n v="168.3"/>
  </r>
  <r>
    <x v="0"/>
    <x v="9"/>
    <x v="2"/>
    <x v="109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  <n v="167.62307692307695"/>
    <n v="175.73333333333335"/>
    <n v="174.56666666666669"/>
    <n v="167"/>
    <n v="171.7"/>
  </r>
  <r>
    <x v="1"/>
    <x v="9"/>
    <x v="2"/>
    <x v="109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168.94615384615386"/>
    <n v="172.96666666666667"/>
    <n v="161.53333333333333"/>
    <n v="161.06"/>
    <n v="167.5"/>
  </r>
  <r>
    <x v="2"/>
    <x v="9"/>
    <x v="2"/>
    <x v="109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168.01538461538465"/>
    <n v="173.86666666666667"/>
    <n v="169.26666666666665"/>
    <n v="163.84"/>
    <n v="170.1"/>
  </r>
  <r>
    <x v="0"/>
    <x v="9"/>
    <x v="3"/>
    <x v="110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  <n v="169.73846153846154"/>
    <n v="176.73333333333335"/>
    <n v="176.56666666666669"/>
    <n v="169.52500000000001"/>
    <n v="173"/>
  </r>
  <r>
    <x v="1"/>
    <x v="9"/>
    <x v="3"/>
    <x v="110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171.56923076923078"/>
    <n v="174.13333333333333"/>
    <n v="163.06666666666666"/>
    <n v="164.12"/>
    <n v="168.7"/>
  </r>
  <r>
    <x v="2"/>
    <x v="9"/>
    <x v="3"/>
    <x v="110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170.33076923076925"/>
    <n v="175.03333333333333"/>
    <n v="171.06666666666669"/>
    <n v="166.54"/>
    <n v="171.4"/>
  </r>
  <r>
    <x v="0"/>
    <x v="9"/>
    <x v="4"/>
    <x v="111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  <n v="171.2923076923077"/>
    <n v="177.13333333333333"/>
    <n v="178.5"/>
    <n v="170.77500000000003"/>
    <n v="173.1"/>
  </r>
  <r>
    <x v="1"/>
    <x v="9"/>
    <x v="4"/>
    <x v="111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174.01538461538465"/>
    <n v="174.83333333333334"/>
    <n v="164.56666666666666"/>
    <n v="165.34"/>
    <n v="169.14999999999998"/>
  </r>
  <r>
    <x v="2"/>
    <x v="9"/>
    <x v="4"/>
    <x v="111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172.22307692307697"/>
    <n v="175.56666666666669"/>
    <n v="172.86666666666667"/>
    <n v="167.64"/>
    <n v="171.60000000000002"/>
  </r>
  <r>
    <x v="0"/>
    <x v="9"/>
    <x v="5"/>
    <x v="112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  <n v="172.94615384615386"/>
    <n v="177.29999999999998"/>
    <n v="179.93333333333331"/>
    <n v="171.27500000000001"/>
    <n v="173.85"/>
  </r>
  <r>
    <x v="1"/>
    <x v="9"/>
    <x v="5"/>
    <x v="112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175.96153846153845"/>
    <n v="175.4"/>
    <n v="166.13333333333333"/>
    <n v="165.5"/>
    <n v="170.05"/>
  </r>
  <r>
    <x v="2"/>
    <x v="9"/>
    <x v="5"/>
    <x v="112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173.99230769230769"/>
    <n v="175.86666666666667"/>
    <n v="174.33333333333334"/>
    <n v="167.86"/>
    <n v="172.4"/>
  </r>
  <r>
    <x v="0"/>
    <x v="9"/>
    <x v="6"/>
    <x v="113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  <n v="173.26923076923077"/>
    <n v="177.86666666666665"/>
    <n v="181.33333333333334"/>
    <n v="172.97500000000002"/>
    <n v="174.25"/>
  </r>
  <r>
    <x v="1"/>
    <x v="9"/>
    <x v="6"/>
    <x v="113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176.27692307692308"/>
    <n v="175.96666666666667"/>
    <n v="167.33333333333334"/>
    <n v="167.38"/>
    <n v="170.75"/>
  </r>
  <r>
    <x v="2"/>
    <x v="9"/>
    <x v="6"/>
    <x v="113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174.33076923076925"/>
    <n v="176.43333333333331"/>
    <n v="175.63333333333335"/>
    <n v="169.56"/>
    <n v="172.89999999999998"/>
  </r>
  <r>
    <x v="0"/>
    <x v="9"/>
    <x v="7"/>
    <x v="114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  <n v="173.5230769230769"/>
    <n v="178.53333333333333"/>
    <n v="182.63333333333333"/>
    <n v="173.42500000000001"/>
    <n v="175.25"/>
  </r>
  <r>
    <x v="1"/>
    <x v="9"/>
    <x v="7"/>
    <x v="114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176.43846153846152"/>
    <n v="176.39999999999998"/>
    <n v="168.43333333333331"/>
    <n v="167.83999999999997"/>
    <n v="172"/>
  </r>
  <r>
    <x v="2"/>
    <x v="9"/>
    <x v="7"/>
    <x v="114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174.55384615384617"/>
    <n v="177"/>
    <n v="176.9"/>
    <n v="170.1"/>
    <n v="174"/>
  </r>
  <r>
    <x v="0"/>
    <x v="9"/>
    <x v="8"/>
    <x v="115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  <n v="174.44615384615386"/>
    <n v="179.20000000000002"/>
    <n v="184.16666666666666"/>
    <n v="174.09999999999997"/>
    <n v="175.5"/>
  </r>
  <r>
    <x v="1"/>
    <x v="9"/>
    <x v="8"/>
    <x v="115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177.41538461538462"/>
    <n v="177.20000000000002"/>
    <n v="169.9"/>
    <n v="168.56"/>
    <n v="172.45"/>
  </r>
  <r>
    <x v="2"/>
    <x v="9"/>
    <x v="8"/>
    <x v="115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175.45384615384617"/>
    <n v="177.73333333333335"/>
    <n v="178.36666666666667"/>
    <n v="170.78"/>
    <n v="174.35000000000002"/>
  </r>
  <r>
    <x v="0"/>
    <x v="9"/>
    <x v="9"/>
    <x v="116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  <n v="175.73076923076923"/>
    <n v="179.79999999999998"/>
    <n v="185.46666666666667"/>
    <n v="174.77500000000001"/>
    <n v="176.6"/>
  </r>
  <r>
    <x v="1"/>
    <x v="9"/>
    <x v="9"/>
    <x v="116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178.63846153846154"/>
    <n v="177.73333333333335"/>
    <n v="170.56666666666669"/>
    <n v="169.44"/>
    <n v="173.5"/>
  </r>
  <r>
    <x v="2"/>
    <x v="9"/>
    <x v="9"/>
    <x v="116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176.71538461538464"/>
    <n v="178.33333333333334"/>
    <n v="179.4"/>
    <n v="171.68"/>
    <n v="175.39999999999998"/>
  </r>
  <r>
    <x v="0"/>
    <x v="9"/>
    <x v="10"/>
    <x v="117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  <n v="175.97692307692307"/>
    <n v="180.29999999999998"/>
    <n v="186.43333333333331"/>
    <n v="175.45"/>
    <n v="177.85000000000002"/>
  </r>
  <r>
    <x v="1"/>
    <x v="9"/>
    <x v="10"/>
    <x v="117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178.03076923076924"/>
    <n v="178.23333333333332"/>
    <n v="171.63333333333333"/>
    <n v="169.88"/>
    <n v="174.8"/>
  </r>
  <r>
    <x v="2"/>
    <x v="9"/>
    <x v="10"/>
    <x v="117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176.67692307692309"/>
    <n v="178.83333333333334"/>
    <n v="180.46666666666667"/>
    <n v="172.24"/>
    <n v="176.7"/>
  </r>
  <r>
    <x v="0"/>
    <x v="9"/>
    <x v="11"/>
    <x v="118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  <n v="175.16153846153844"/>
    <n v="180.86666666666667"/>
    <n v="187.26666666666665"/>
    <n v="176.07499999999999"/>
    <n v="179.6"/>
  </r>
  <r>
    <x v="1"/>
    <x v="9"/>
    <x v="11"/>
    <x v="118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176.59999999999997"/>
    <n v="178.79999999999998"/>
    <n v="172.63333333333333"/>
    <n v="169.95999999999998"/>
    <n v="176.6"/>
  </r>
  <r>
    <x v="2"/>
    <x v="9"/>
    <x v="11"/>
    <x v="118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175.64615384615385"/>
    <n v="179.4"/>
    <n v="181.33333333333334"/>
    <n v="172.45999999999998"/>
    <n v="178.45"/>
  </r>
  <r>
    <x v="0"/>
    <x v="10"/>
    <x v="0"/>
    <x v="119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  <n v="175.63076923076926"/>
    <n v="181.73333333333335"/>
    <n v="187.96666666666667"/>
    <n v="176.59999999999997"/>
    <n v="181.55"/>
  </r>
  <r>
    <x v="1"/>
    <x v="10"/>
    <x v="0"/>
    <x v="119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177.70769230769233"/>
    <n v="179.43333333333331"/>
    <n v="173.53333333333333"/>
    <n v="170.3"/>
    <n v="178.65"/>
  </r>
  <r>
    <x v="2"/>
    <x v="10"/>
    <x v="0"/>
    <x v="119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176.36153846153846"/>
    <n v="180.16666666666666"/>
    <n v="182.1"/>
    <n v="172.98000000000002"/>
    <n v="180.45"/>
  </r>
  <r>
    <x v="0"/>
    <x v="10"/>
    <x v="1"/>
    <x v="120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  <n v="174.28461538461536"/>
    <n v="183"/>
    <n v="188.86666666666667"/>
    <n v="176.92500000000001"/>
    <n v="183.64999999999998"/>
  </r>
  <r>
    <x v="1"/>
    <x v="10"/>
    <x v="1"/>
    <x v="120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177.16923076923075"/>
    <n v="180.36666666666667"/>
    <n v="175.16666666666666"/>
    <n v="171.56"/>
    <n v="181.10000000000002"/>
  </r>
  <r>
    <x v="2"/>
    <x v="10"/>
    <x v="1"/>
    <x v="120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175.3153846153846"/>
    <n v="181.29999999999998"/>
    <n v="183.33333333333334"/>
    <n v="173.8"/>
    <n v="182.7"/>
  </r>
  <r>
    <x v="0"/>
    <x v="10"/>
    <x v="2"/>
    <x v="121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  <n v="174.2923076923077"/>
    <n v="183.03333333333333"/>
    <n v="188.86666666666667"/>
    <n v="176.875"/>
    <n v="183.64999999999998"/>
  </r>
  <r>
    <x v="1"/>
    <x v="10"/>
    <x v="2"/>
    <x v="121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177.1846153846154"/>
    <n v="180.36666666666667"/>
    <n v="175.13333333333333"/>
    <n v="171.51999999999998"/>
    <n v="181.15"/>
  </r>
  <r>
    <x v="2"/>
    <x v="10"/>
    <x v="2"/>
    <x v="121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175.32307692307691"/>
    <n v="181.29999999999998"/>
    <n v="183.29999999999998"/>
    <n v="173.76"/>
    <n v="182.7"/>
  </r>
  <r>
    <x v="0"/>
    <x v="10"/>
    <x v="3"/>
    <x v="122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174.93846153846152"/>
    <n v="183.86666666666667"/>
    <n v="189.4"/>
    <n v="177.35"/>
    <n v="185.5"/>
  </r>
  <r>
    <x v="1"/>
    <x v="10"/>
    <x v="3"/>
    <x v="122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178.28461538461539"/>
    <n v="181.06666666666669"/>
    <n v="175.86666666666667"/>
    <n v="172.24"/>
    <n v="182.95"/>
  </r>
  <r>
    <x v="2"/>
    <x v="10"/>
    <x v="3"/>
    <x v="122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176.12307692307695"/>
    <n v="182.1"/>
    <n v="183.93333333333331"/>
    <n v="174.48"/>
    <n v="184.5"/>
  </r>
  <r>
    <x v="0"/>
    <x v="10"/>
    <x v="4"/>
    <x v="123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176.20769230769235"/>
    <n v="184.4"/>
    <n v="189.9666666666667"/>
    <n v="178.07499999999999"/>
    <n v="186.35000000000002"/>
  </r>
  <r>
    <x v="1"/>
    <x v="10"/>
    <x v="4"/>
    <x v="123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179.62307692307692"/>
    <n v="181.66666666666666"/>
    <n v="176.23333333333335"/>
    <n v="172.85999999999999"/>
    <n v="183.89999999999998"/>
  </r>
  <r>
    <x v="2"/>
    <x v="10"/>
    <x v="4"/>
    <x v="123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177.45384615384617"/>
    <n v="182.63333333333333"/>
    <n v="184.4"/>
    <n v="175.09999999999997"/>
    <n v="185.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s v="Rural"/>
    <x v="0"/>
    <x v="0"/>
    <d v="2013-01-01T00:00:0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  <n v="105.5153846153846"/>
    <n v="104.16666666666667"/>
    <n v="106.23333333333335"/>
    <n v="104.35000000000001"/>
  </r>
  <r>
    <s v="Urban"/>
    <x v="0"/>
    <x v="0"/>
    <d v="2013-01-01T00:00:0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05.87692307692308"/>
    <n v="103.93333333333334"/>
    <n v="105.56666666666666"/>
    <n v="103.44000000000001"/>
  </r>
  <r>
    <s v="Rural+Urban"/>
    <x v="0"/>
    <x v="0"/>
    <d v="2013-01-01T00:00:0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05.63846153846156"/>
    <n v="104.03333333333335"/>
    <n v="106"/>
    <n v="103.47999999999999"/>
  </r>
  <r>
    <s v="Rural"/>
    <x v="0"/>
    <x v="1"/>
    <d v="2013-02-01T00:00:00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  <n v="106.18461538461537"/>
    <n v="104.66666666666667"/>
    <n v="106.8"/>
    <n v="104.85"/>
  </r>
  <r>
    <s v="Urban"/>
    <x v="0"/>
    <x v="1"/>
    <d v="2013-02-01T00:00:00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06.96923076923078"/>
    <n v="104.53333333333335"/>
    <n v="106.16666666666667"/>
    <n v="103.88000000000002"/>
  </r>
  <r>
    <s v="Rural+Urban"/>
    <x v="0"/>
    <x v="1"/>
    <d v="2013-02-01T00:00:00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06.47692307692309"/>
    <n v="104.56666666666668"/>
    <n v="106.56666666666666"/>
    <n v="103.94000000000001"/>
  </r>
  <r>
    <s v="Rural"/>
    <x v="0"/>
    <x v="2"/>
    <d v="2013-03-01T00:00:00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  <n v="106.32307692307693"/>
    <n v="105.03333333333335"/>
    <n v="107.3"/>
    <n v="105.14999999999999"/>
  </r>
  <r>
    <s v="Urban"/>
    <x v="0"/>
    <x v="2"/>
    <d v="2013-03-01T00:00:00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06.67692307692307"/>
    <n v="105.06666666666668"/>
    <n v="106.73333333333333"/>
    <n v="104.28"/>
  </r>
  <r>
    <s v="Rural+Urban"/>
    <x v="0"/>
    <x v="2"/>
    <d v="2013-03-01T00:00:00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06.46153846153848"/>
    <n v="105"/>
    <n v="107.06666666666666"/>
    <n v="104.24000000000001"/>
  </r>
  <r>
    <s v="Rural"/>
    <x v="0"/>
    <x v="3"/>
    <d v="2013-04-01T00:00:00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  <n v="106.6"/>
    <n v="105.39999999999999"/>
    <n v="107.83333333333333"/>
    <n v="105.45"/>
  </r>
  <r>
    <s v="Urban"/>
    <x v="0"/>
    <x v="3"/>
    <d v="2013-04-01T00:00:00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07.5153846153846"/>
    <n v="105.86666666666667"/>
    <n v="107.33333333333333"/>
    <n v="104.72"/>
  </r>
  <r>
    <s v="Rural+Urban"/>
    <x v="0"/>
    <x v="3"/>
    <d v="2013-04-01T00:00:00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06.93846153846154"/>
    <n v="105.5"/>
    <n v="107.63333333333333"/>
    <n v="104.6"/>
  </r>
  <r>
    <s v="Rural"/>
    <x v="0"/>
    <x v="4"/>
    <d v="2013-05-01T00:00:00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  <n v="107.23076923076923"/>
    <n v="105.96666666666665"/>
    <n v="108.43333333333332"/>
    <n v="105.97499999999999"/>
  </r>
  <r>
    <s v="Urban"/>
    <x v="0"/>
    <x v="4"/>
    <d v="2013-05-01T00:00:00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09.0153846153846"/>
    <n v="106.43333333333332"/>
    <n v="107.83333333333333"/>
    <n v="104.88"/>
  </r>
  <r>
    <s v="Rural+Urban"/>
    <x v="0"/>
    <x v="4"/>
    <d v="2013-05-01T00:00:00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07.86153846153844"/>
    <n v="106.06666666666666"/>
    <n v="108.2"/>
    <n v="104.88"/>
  </r>
  <r>
    <s v="Rural"/>
    <x v="0"/>
    <x v="5"/>
    <d v="2013-06-01T00:00:00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  <n v="109.23076923076923"/>
    <n v="106.7"/>
    <n v="109.33333333333333"/>
    <n v="106.875"/>
  </r>
  <r>
    <s v="Urban"/>
    <x v="0"/>
    <x v="5"/>
    <d v="2013-06-01T00:00:00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12.66153846153847"/>
    <n v="107.40000000000002"/>
    <n v="108.43333333333334"/>
    <n v="107.12"/>
  </r>
  <r>
    <s v="Rural+Urban"/>
    <x v="0"/>
    <x v="5"/>
    <d v="2013-06-01T00:00:00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10.46153846153847"/>
    <n v="106.89999999999999"/>
    <n v="108.96666666666665"/>
    <n v="107"/>
  </r>
  <r>
    <s v="Rural"/>
    <x v="0"/>
    <x v="6"/>
    <d v="2013-07-01T00:00:00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  <n v="111.22307692307689"/>
    <n v="107.56666666666666"/>
    <n v="110.10000000000001"/>
    <n v="108.10000000000001"/>
  </r>
  <r>
    <s v="Urban"/>
    <x v="0"/>
    <x v="6"/>
    <d v="2013-07-01T00:00:00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14.56923076923077"/>
    <n v="108.30000000000001"/>
    <n v="109.03333333333335"/>
    <n v="108.35999999999999"/>
  </r>
  <r>
    <s v="Rural+Urban"/>
    <x v="0"/>
    <x v="6"/>
    <d v="2013-07-01T00:00:00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12.41538461538461"/>
    <n v="107.76666666666665"/>
    <n v="109.66666666666667"/>
    <n v="108.26000000000002"/>
  </r>
  <r>
    <s v="Rural"/>
    <x v="0"/>
    <x v="7"/>
    <d v="2013-08-01T00:00:00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  <n v="112.5"/>
    <n v="108.33333333333333"/>
    <n v="110.86666666666667"/>
    <n v="108.77500000000001"/>
  </r>
  <r>
    <s v="Urban"/>
    <x v="0"/>
    <x v="7"/>
    <d v="2013-08-01T00:00:00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15.85384615384616"/>
    <n v="109.06666666666666"/>
    <n v="109.69999999999999"/>
    <n v="109.16"/>
  </r>
  <r>
    <s v="Rural+Urban"/>
    <x v="0"/>
    <x v="7"/>
    <d v="2013-08-01T00:00:00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13.64615384615385"/>
    <n v="108.56666666666668"/>
    <n v="110.36666666666667"/>
    <n v="109.04"/>
  </r>
  <r>
    <s v="Rural"/>
    <x v="0"/>
    <x v="8"/>
    <d v="2013-09-01T00:00:00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  <n v="114.50000000000001"/>
    <n v="109.36666666666667"/>
    <n v="112.2"/>
    <n v="109.95"/>
  </r>
  <r>
    <s v="Urban"/>
    <x v="0"/>
    <x v="8"/>
    <d v="2013-09-01T00:00:00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15.41538461538462"/>
    <n v="109.90000000000002"/>
    <n v="110.5"/>
    <n v="110.08"/>
  </r>
  <r>
    <s v="Rural+Urban"/>
    <x v="0"/>
    <x v="8"/>
    <d v="2013-09-01T00:00:00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14.74615384615383"/>
    <n v="109.5"/>
    <n v="111.5"/>
    <n v="110.05999999999999"/>
  </r>
  <r>
    <s v="Rural"/>
    <x v="0"/>
    <x v="9"/>
    <d v="2013-10-01T00:00:00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  <n v="116"/>
    <n v="109.86666666666667"/>
    <n v="113.09999999999998"/>
    <n v="110.375"/>
  </r>
  <r>
    <s v="Urban"/>
    <x v="0"/>
    <x v="9"/>
    <d v="2013-10-01T00:00:00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16.7076923076923"/>
    <n v="110.3"/>
    <n v="111.39999999999999"/>
    <n v="110.28"/>
  </r>
  <r>
    <s v="Rural+Urban"/>
    <x v="0"/>
    <x v="9"/>
    <d v="2013-10-01T00:00:00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16.16923076923079"/>
    <n v="109.93333333333334"/>
    <n v="112.39999999999999"/>
    <n v="110.4"/>
  </r>
  <r>
    <s v="Rural"/>
    <x v="0"/>
    <x v="10"/>
    <d v="2013-11-01T00:00:0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  <n v="118.21538461538461"/>
    <n v="110.43333333333334"/>
    <n v="114.03333333333335"/>
    <n v="111.125"/>
  </r>
  <r>
    <s v="Urban"/>
    <x v="0"/>
    <x v="10"/>
    <d v="2013-11-01T00:00:0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18.8153846153846"/>
    <n v="110.73333333333333"/>
    <n v="112.26666666666667"/>
    <n v="110.55999999999999"/>
  </r>
  <r>
    <s v="Rural+Urban"/>
    <x v="0"/>
    <x v="10"/>
    <d v="2013-11-01T00:00:0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18.36923076923077"/>
    <n v="110.46666666666665"/>
    <n v="113.30000000000001"/>
    <n v="110.9"/>
  </r>
  <r>
    <s v="Rural"/>
    <x v="0"/>
    <x v="11"/>
    <d v="2013-12-01T00:00:00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  <n v="116.07692307692308"/>
    <n v="110.96666666666665"/>
    <n v="115.10000000000001"/>
    <n v="111.6"/>
  </r>
  <r>
    <s v="Urban"/>
    <x v="0"/>
    <x v="11"/>
    <d v="2013-12-01T00:00:00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15.72307692307693"/>
    <n v="111.23333333333333"/>
    <n v="112.93333333333334"/>
    <n v="110.7"/>
  </r>
  <r>
    <s v="Rural+Urban"/>
    <x v="0"/>
    <x v="11"/>
    <d v="2013-12-01T00:00:00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15.94615384615386"/>
    <n v="111"/>
    <n v="114.23333333333333"/>
    <n v="111.12"/>
  </r>
  <r>
    <s v="Rural"/>
    <x v="1"/>
    <x v="0"/>
    <d v="2014-01-01T00:00:0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  <n v="114.35384615384616"/>
    <n v="111.39999999999999"/>
    <n v="115.73333333333333"/>
    <n v="111.97500000000001"/>
  </r>
  <r>
    <s v="Urban"/>
    <x v="1"/>
    <x v="0"/>
    <d v="2014-01-01T00:00:0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14.17692307692307"/>
    <n v="112"/>
    <n v="113.46666666666665"/>
    <n v="111.35999999999999"/>
  </r>
  <r>
    <s v="Rural+Urban"/>
    <x v="1"/>
    <x v="0"/>
    <d v="2014-01-01T00:00:0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14.29230769230767"/>
    <n v="111.59999999999998"/>
    <n v="114.8"/>
    <n v="111.67999999999999"/>
  </r>
  <r>
    <s v="Rural"/>
    <x v="1"/>
    <x v="1"/>
    <d v="2014-02-01T00:00:00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  <n v="114.01538461538462"/>
    <n v="111.66666666666667"/>
    <n v="116.10000000000001"/>
    <n v="112.22500000000001"/>
  </r>
  <r>
    <s v="Urban"/>
    <x v="1"/>
    <x v="1"/>
    <d v="2014-02-01T00:00:00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13.53846153846153"/>
    <n v="112.5"/>
    <n v="113.89999999999999"/>
    <n v="111.82000000000001"/>
  </r>
  <r>
    <s v="Rural+Urban"/>
    <x v="1"/>
    <x v="1"/>
    <d v="2014-02-01T00:00:00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13.85384615384615"/>
    <n v="111.90000000000002"/>
    <n v="115.2"/>
    <n v="112.11999999999998"/>
  </r>
  <r>
    <s v="Rural"/>
    <x v="1"/>
    <x v="2"/>
    <d v="2014-03-01T00:00:00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  <n v="114.72307692307693"/>
    <n v="112.03333333333335"/>
    <n v="116.53333333333335"/>
    <n v="112.6"/>
  </r>
  <r>
    <s v="Urban"/>
    <x v="1"/>
    <x v="2"/>
    <d v="2014-03-01T00:00:00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14.07692307692308"/>
    <n v="113"/>
    <n v="114.36666666666666"/>
    <n v="112.1"/>
  </r>
  <r>
    <s v="Rural+Urban"/>
    <x v="1"/>
    <x v="2"/>
    <d v="2014-03-01T00:00:00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14.48461538461537"/>
    <n v="112.36666666666667"/>
    <n v="115.63333333333333"/>
    <n v="112.46"/>
  </r>
  <r>
    <s v="Rural"/>
    <x v="1"/>
    <x v="3"/>
    <d v="2014-04-01T00:00:00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  <n v="115.70000000000002"/>
    <n v="112.46666666666665"/>
    <n v="117.33333333333333"/>
    <n v="112.825"/>
  </r>
  <r>
    <s v="Urban"/>
    <x v="1"/>
    <x v="3"/>
    <d v="2014-04-01T00:00:00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15.69230769230771"/>
    <n v="113.40000000000002"/>
    <n v="114.83333333333333"/>
    <n v="112.38000000000002"/>
  </r>
  <r>
    <s v="Rural+Urban"/>
    <x v="1"/>
    <x v="3"/>
    <d v="2014-04-01T00:00:00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15.69999999999999"/>
    <n v="112.8"/>
    <n v="116.33333333333333"/>
    <n v="112.78"/>
  </r>
  <r>
    <s v="Rural"/>
    <x v="1"/>
    <x v="4"/>
    <d v="2014-05-01T00:00:00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  <n v="116.45384615384614"/>
    <n v="113"/>
    <n v="118"/>
    <n v="113"/>
  </r>
  <r>
    <s v="Urban"/>
    <x v="1"/>
    <x v="4"/>
    <d v="2014-05-01T00:00:00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17.33076923076925"/>
    <n v="113.83333333333333"/>
    <n v="115.3"/>
    <n v="112.74000000000001"/>
  </r>
  <r>
    <s v="Rural+Urban"/>
    <x v="1"/>
    <x v="4"/>
    <d v="2014-05-01T00:00:00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16.80769230769235"/>
    <n v="113.26666666666667"/>
    <n v="116.93333333333332"/>
    <n v="113.04"/>
  </r>
  <r>
    <s v="Rural"/>
    <x v="1"/>
    <x v="5"/>
    <d v="2014-06-01T00:00:00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  <n v="117.36153846153844"/>
    <n v="113.66666666666667"/>
    <n v="118.76666666666667"/>
    <n v="113.95"/>
  </r>
  <r>
    <s v="Urban"/>
    <x v="1"/>
    <x v="5"/>
    <d v="2014-06-01T00:00:00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19"/>
    <n v="114.33333333333333"/>
    <n v="115.76666666666667"/>
    <n v="113.2"/>
  </r>
  <r>
    <s v="Rural+Urban"/>
    <x v="1"/>
    <x v="5"/>
    <d v="2014-06-01T00:00:00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17.9769230769231"/>
    <n v="113.89999999999999"/>
    <n v="117.56666666666666"/>
    <n v="113.66000000000001"/>
  </r>
  <r>
    <s v="Rural"/>
    <x v="1"/>
    <x v="6"/>
    <d v="2014-07-01T00:00:00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  <n v="120.24615384615385"/>
    <n v="114.3"/>
    <n v="119.76666666666667"/>
    <n v="114.85"/>
  </r>
  <r>
    <s v="Urban"/>
    <x v="1"/>
    <x v="6"/>
    <d v="2014-07-01T00:00:00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23.03846153846153"/>
    <n v="115.63333333333333"/>
    <n v="116.33333333333333"/>
    <n v="114.41999999999999"/>
  </r>
  <r>
    <s v="Rural+Urban"/>
    <x v="1"/>
    <x v="6"/>
    <d v="2014-07-01T00:00:00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21.25384615384615"/>
    <n v="114.73333333333333"/>
    <n v="118.33333333333333"/>
    <n v="114.75999999999999"/>
  </r>
  <r>
    <s v="Rural"/>
    <x v="1"/>
    <x v="7"/>
    <d v="2014-08-01T00:00:00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  <n v="121.71538461538459"/>
    <n v="114.83333333333333"/>
    <n v="120.13333333333333"/>
    <n v="115.175"/>
  </r>
  <r>
    <s v="Urban"/>
    <x v="1"/>
    <x v="7"/>
    <d v="2014-08-01T00:00:00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24.38461538461539"/>
    <n v="116.60000000000001"/>
    <n v="116.86666666666667"/>
    <n v="114.86000000000001"/>
  </r>
  <r>
    <s v="Rural+Urban"/>
    <x v="1"/>
    <x v="7"/>
    <d v="2014-08-01T00:00:00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22.65384615384613"/>
    <n v="115.39999999999999"/>
    <n v="118.8"/>
    <n v="115.18000000000002"/>
  </r>
  <r>
    <s v="Rural"/>
    <x v="1"/>
    <x v="8"/>
    <d v="2014-09-01T00:00:00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  <n v="121.78461538461539"/>
    <n v="115.26666666666667"/>
    <n v="120.73333333333333"/>
    <n v="115.47499999999999"/>
  </r>
  <r>
    <s v="Urban"/>
    <x v="1"/>
    <x v="8"/>
    <d v="2014-09-01T00:00:00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22.59230769230771"/>
    <n v="117.09999999999998"/>
    <n v="117.36666666666667"/>
    <n v="114.91999999999999"/>
  </r>
  <r>
    <s v="Rural+Urban"/>
    <x v="1"/>
    <x v="8"/>
    <d v="2014-09-01T00:00:00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22.00769230769228"/>
    <n v="115.86666666666666"/>
    <n v="119.33333333333333"/>
    <n v="115.42"/>
  </r>
  <r>
    <s v="Rural"/>
    <x v="1"/>
    <x v="9"/>
    <d v="2014-10-01T00:00:00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  <n v="121.63076923076922"/>
    <n v="115.66666666666667"/>
    <n v="121.76666666666667"/>
    <n v="115.85"/>
  </r>
  <r>
    <s v="Urban"/>
    <x v="1"/>
    <x v="9"/>
    <d v="2014-10-01T00:00:00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22.11538461538461"/>
    <n v="117.19999999999999"/>
    <n v="117.8"/>
    <n v="115.14000000000001"/>
  </r>
  <r>
    <s v="Rural+Urban"/>
    <x v="1"/>
    <x v="9"/>
    <d v="2014-10-01T00:00:00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21.74615384615385"/>
    <n v="116.09999999999998"/>
    <n v="120.2"/>
    <n v="115.74000000000001"/>
  </r>
  <r>
    <s v="Rural"/>
    <x v="1"/>
    <x v="10"/>
    <d v="2014-11-01T00:00:0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  <n v="121.69230769230769"/>
    <n v="116.06666666666666"/>
    <n v="122.23333333333335"/>
    <n v="116.14999999999999"/>
  </r>
  <r>
    <s v="Urban"/>
    <x v="1"/>
    <x v="10"/>
    <d v="2014-11-01T00:00:0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22.13846153846154"/>
    <n v="117.73333333333335"/>
    <n v="118.39999999999999"/>
    <n v="115.22"/>
  </r>
  <r>
    <s v="Rural+Urban"/>
    <x v="1"/>
    <x v="10"/>
    <d v="2014-11-01T00:00:0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21.78461538461539"/>
    <n v="116.53333333333335"/>
    <n v="120.7"/>
    <n v="115.94000000000001"/>
  </r>
  <r>
    <s v="Rural"/>
    <x v="1"/>
    <x v="11"/>
    <d v="2014-12-01T00:00:00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  <n v="120.73846153846154"/>
    <n v="116.39999999999999"/>
    <n v="122.56666666666666"/>
    <n v="116.2"/>
  </r>
  <r>
    <s v="Urban"/>
    <x v="1"/>
    <x v="11"/>
    <d v="2014-12-01T00:00:00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21.32307692307691"/>
    <n v="118.03333333333335"/>
    <n v="118.83333333333333"/>
    <n v="115.16000000000001"/>
  </r>
  <r>
    <s v="Rural+Urban"/>
    <x v="1"/>
    <x v="11"/>
    <d v="2014-12-01T00:00:00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20.89999999999999"/>
    <n v="116.89999999999999"/>
    <n v="121.06666666666666"/>
    <n v="115.85999999999999"/>
  </r>
  <r>
    <s v="Rural"/>
    <x v="2"/>
    <x v="0"/>
    <d v="2015-01-01T00:00:0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  <n v="120.62307692307692"/>
    <n v="117.06666666666666"/>
    <n v="123.33333333333333"/>
    <n v="116.625"/>
  </r>
  <r>
    <s v="Urban"/>
    <x v="2"/>
    <x v="0"/>
    <d v="2015-01-01T00:00:0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21.14615384615384"/>
    <n v="118.46666666666665"/>
    <n v="119.10000000000001"/>
    <n v="115.31999999999998"/>
  </r>
  <r>
    <s v="Rural+Urban"/>
    <x v="2"/>
    <x v="0"/>
    <d v="2015-01-01T00:00:0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20.71538461538461"/>
    <n v="117.43333333333334"/>
    <n v="121.63333333333333"/>
    <n v="116.2"/>
  </r>
  <r>
    <s v="Rural"/>
    <x v="2"/>
    <x v="1"/>
    <d v="2015-02-01T00:00:00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  <n v="120.81538461538459"/>
    <n v="118"/>
    <n v="124.36666666666667"/>
    <n v="117.3"/>
  </r>
  <r>
    <s v="Urban"/>
    <x v="2"/>
    <x v="1"/>
    <d v="2015-02-01T00:00:00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20.85384615384616"/>
    <n v="118.73333333333333"/>
    <n v="119.46666666666665"/>
    <n v="115.4"/>
  </r>
  <r>
    <s v="Rural+Urban"/>
    <x v="2"/>
    <x v="1"/>
    <d v="2015-02-01T00:00:00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20.72307692307689"/>
    <n v="118.06666666666668"/>
    <n v="122.39999999999999"/>
    <n v="116.58"/>
  </r>
  <r>
    <s v="Rural"/>
    <x v="2"/>
    <x v="2"/>
    <d v="2015-03-01T00:00:00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  <n v="120.88461538461539"/>
    <n v="118.56666666666666"/>
    <n v="124.8"/>
    <n v="117.94999999999999"/>
  </r>
  <r>
    <s v="Urban"/>
    <x v="2"/>
    <x v="2"/>
    <d v="2015-03-01T00:00:00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20.61538461538463"/>
    <n v="119.33333333333333"/>
    <n v="119.83333333333333"/>
    <n v="116"/>
  </r>
  <r>
    <s v="Rural+Urban"/>
    <x v="2"/>
    <x v="2"/>
    <d v="2015-03-01T00:00:00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20.69999999999999"/>
    <n v="118.63333333333333"/>
    <n v="122.8"/>
    <n v="117.22"/>
  </r>
  <r>
    <s v="Rural"/>
    <x v="2"/>
    <x v="3"/>
    <d v="2015-04-01T00:00:00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  <n v="121.32307692307693"/>
    <n v="119.3"/>
    <n v="125.23333333333333"/>
    <n v="118.47499999999999"/>
  </r>
  <r>
    <s v="Urban"/>
    <x v="2"/>
    <x v="3"/>
    <d v="2015-04-01T00:00:00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21.23846153846154"/>
    <n v="119.96666666666665"/>
    <n v="120.2"/>
    <n v="116.48000000000002"/>
  </r>
  <r>
    <s v="Rural+Urban"/>
    <x v="2"/>
    <x v="3"/>
    <d v="2015-04-01T00:00:00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21.20769230769231"/>
    <n v="119.3"/>
    <n v="123.2"/>
    <n v="117.74000000000001"/>
  </r>
  <r>
    <s v="Rural"/>
    <x v="2"/>
    <x v="4"/>
    <d v="2015-05-01T00:00:00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  <n v="122.13076923076923"/>
    <n v="120.10000000000001"/>
    <n v="126.06666666666666"/>
    <n v="119.3"/>
  </r>
  <r>
    <s v="Urban"/>
    <x v="2"/>
    <x v="4"/>
    <d v="2015-05-01T00:00:00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22.9923076923077"/>
    <n v="120.83333333333333"/>
    <n v="120.46666666666665"/>
    <n v="117.2"/>
  </r>
  <r>
    <s v="Rural+Urban"/>
    <x v="2"/>
    <x v="4"/>
    <d v="2015-05-01T00:00:00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22.33846153846154"/>
    <n v="120.09999999999998"/>
    <n v="123.8"/>
    <n v="118.47999999999999"/>
  </r>
  <r>
    <s v="Rural"/>
    <x v="2"/>
    <x v="5"/>
    <d v="2015-06-01T00:00:00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  <n v="124.45384615384614"/>
    <n v="121.33333333333333"/>
    <n v="127.16666666666667"/>
    <n v="120.39999999999999"/>
  </r>
  <r>
    <s v="Urban"/>
    <x v="2"/>
    <x v="5"/>
    <d v="2015-06-01T00:00:00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25.89230769230768"/>
    <n v="121.43333333333334"/>
    <n v="121.03333333333335"/>
    <n v="117.75999999999999"/>
  </r>
  <r>
    <s v="Rural+Urban"/>
    <x v="2"/>
    <x v="5"/>
    <d v="2015-06-01T00:00:00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24.88461538461539"/>
    <n v="121.03333333333335"/>
    <n v="124.7"/>
    <n v="119.17999999999999"/>
  </r>
  <r>
    <s v="Rural"/>
    <x v="2"/>
    <x v="6"/>
    <d v="2015-07-01T00:00:00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  <n v="125.02307692307691"/>
    <n v="121.83333333333333"/>
    <n v="127.53333333333335"/>
    <n v="120.75"/>
  </r>
  <r>
    <s v="Urban"/>
    <x v="2"/>
    <x v="6"/>
    <d v="2015-07-01T00:00:00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26.37692307692306"/>
    <n v="122"/>
    <n v="121.36666666666667"/>
    <n v="118.32000000000001"/>
  </r>
  <r>
    <s v="Rural+Urban"/>
    <x v="2"/>
    <x v="6"/>
    <d v="2015-07-01T00:00:00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25.43076923076924"/>
    <n v="121.60000000000001"/>
    <n v="125.03333333333335"/>
    <n v="119.67999999999999"/>
  </r>
  <r>
    <s v="Rural"/>
    <x v="2"/>
    <x v="7"/>
    <d v="2015-08-01T00:00:00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  <n v="126.66153846153846"/>
    <n v="122.26666666666667"/>
    <n v="128.26666666666668"/>
    <n v="121.17500000000001"/>
  </r>
  <r>
    <s v="Urban"/>
    <x v="2"/>
    <x v="7"/>
    <d v="2015-08-01T00:00:00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27.6076923076923"/>
    <n v="122.53333333333332"/>
    <n v="121.60000000000001"/>
    <n v="118.46000000000001"/>
  </r>
  <r>
    <s v="Rural+Urban"/>
    <x v="2"/>
    <x v="7"/>
    <d v="2015-08-01T00:00:00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26.89230769230768"/>
    <n v="122.06666666666666"/>
    <n v="125.56666666666668"/>
    <n v="120.05999999999999"/>
  </r>
  <r>
    <s v="Rural"/>
    <x v="2"/>
    <x v="8"/>
    <d v="2015-09-01T00:00:00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  <n v="127.50769230769232"/>
    <n v="123.13333333333333"/>
    <n v="129.03333333333333"/>
    <n v="121.625"/>
  </r>
  <r>
    <s v="Urban"/>
    <x v="2"/>
    <x v="8"/>
    <d v="2015-09-01T00:00:00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28.06153846153845"/>
    <n v="122.73333333333333"/>
    <n v="121.93333333333334"/>
    <n v="118.54"/>
  </r>
  <r>
    <s v="Rural+Urban"/>
    <x v="2"/>
    <x v="8"/>
    <d v="2015-09-01T00:00:00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27.56153846153848"/>
    <n v="122.60000000000001"/>
    <n v="126.16666666666667"/>
    <n v="120.32000000000001"/>
  </r>
  <r>
    <s v="Rural"/>
    <x v="2"/>
    <x v="9"/>
    <d v="2015-10-01T00:00:00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  <n v="128.8153846153846"/>
    <n v="123.60000000000001"/>
    <n v="129.66666666666666"/>
    <n v="122.1"/>
  </r>
  <r>
    <s v="Urban"/>
    <x v="2"/>
    <x v="9"/>
    <d v="2015-10-01T00:00:00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30.21538461538464"/>
    <n v="123.16666666666667"/>
    <n v="122.26666666666665"/>
    <n v="118.75999999999999"/>
  </r>
  <r>
    <s v="Rural+Urban"/>
    <x v="2"/>
    <x v="9"/>
    <d v="2015-10-01T00:00:00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29.15384615384613"/>
    <n v="123.03333333333335"/>
    <n v="126.7"/>
    <n v="120.7"/>
  </r>
  <r>
    <s v="Rural"/>
    <x v="2"/>
    <x v="10"/>
    <d v="2015-11-01T00:00:0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  <n v="129.71538461538461"/>
    <n v="124.23333333333333"/>
    <n v="130.6"/>
    <n v="122.75"/>
  </r>
  <r>
    <s v="Urban"/>
    <x v="2"/>
    <x v="10"/>
    <d v="2015-11-01T00:00:0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31.42307692307691"/>
    <n v="124.03333333333335"/>
    <n v="122.83333333333333"/>
    <n v="118.97999999999999"/>
  </r>
  <r>
    <s v="Rural+Urban"/>
    <x v="2"/>
    <x v="10"/>
    <d v="2015-11-01T00:00:0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30.16153846153844"/>
    <n v="123.63333333333333"/>
    <n v="127.46666666666665"/>
    <n v="121.13999999999999"/>
  </r>
  <r>
    <s v="Rural"/>
    <x v="2"/>
    <x v="11"/>
    <d v="2015-12-01T00:00:00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  <n v="129.40769230769232"/>
    <n v="124.83333333333333"/>
    <n v="130.96666666666667"/>
    <n v="122.82499999999999"/>
  </r>
  <r>
    <s v="Urban"/>
    <x v="2"/>
    <x v="11"/>
    <d v="2015-12-01T00:00:00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30.67692307692306"/>
    <n v="124.33333333333331"/>
    <n v="123.13333333333333"/>
    <n v="119.05999999999999"/>
  </r>
  <r>
    <s v="Rural+Urban"/>
    <x v="2"/>
    <x v="11"/>
    <d v="2015-12-01T00:00:00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29.70000000000002"/>
    <n v="124.13333333333333"/>
    <n v="127.83333333333333"/>
    <n v="121.14000000000001"/>
  </r>
  <r>
    <s v="Rural"/>
    <x v="3"/>
    <x v="0"/>
    <d v="2016-01-01T00:00:0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  <n v="130.00769230769231"/>
    <n v="125.03333333333335"/>
    <n v="131.56666666666669"/>
    <n v="123.14999999999999"/>
  </r>
  <r>
    <s v="Urban"/>
    <x v="3"/>
    <x v="0"/>
    <d v="2016-01-01T00:00:0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30.87692307692308"/>
    <n v="124.93333333333334"/>
    <n v="123.5"/>
    <n v="119.43999999999998"/>
  </r>
  <r>
    <s v="Rural+Urban"/>
    <x v="3"/>
    <x v="0"/>
    <d v="2016-01-01T00:00:0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30.13076923076923"/>
    <n v="124.5"/>
    <n v="128.29999999999998"/>
    <n v="121.53999999999999"/>
  </r>
  <r>
    <s v="Rural"/>
    <x v="3"/>
    <x v="1"/>
    <d v="2016-02-01T00:00:00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  <n v="129.43076923076922"/>
    <n v="125.86666666666667"/>
    <n v="132.36666666666667"/>
    <n v="123.9"/>
  </r>
  <r>
    <s v="Urban"/>
    <x v="3"/>
    <x v="1"/>
    <d v="2016-02-01T00:00:00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28.93076923076922"/>
    <n v="125.33333333333333"/>
    <n v="123.86666666666667"/>
    <n v="119.51999999999998"/>
  </r>
  <r>
    <s v="Rural+Urban"/>
    <x v="3"/>
    <x v="1"/>
    <d v="2016-02-01T00:00:00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29.08461538461538"/>
    <n v="125.09999999999998"/>
    <n v="128.96666666666667"/>
    <n v="122.02000000000001"/>
  </r>
  <r>
    <s v="Rural"/>
    <x v="3"/>
    <x v="2"/>
    <d v="2016-03-01T00:00:00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  <n v="129.43846153846155"/>
    <n v="126.2"/>
    <n v="132.80000000000001"/>
    <n v="123.94999999999999"/>
  </r>
  <r>
    <s v="Urban"/>
    <x v="3"/>
    <x v="2"/>
    <d v="2016-03-01T00:00:00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28.27692307692308"/>
    <n v="125.66666666666667"/>
    <n v="124.06666666666666"/>
    <n v="119.38"/>
  </r>
  <r>
    <s v="Rural+Urban"/>
    <x v="3"/>
    <x v="2"/>
    <d v="2016-03-01T00:00:00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28.86153846153846"/>
    <n v="125.46666666666668"/>
    <n v="129.29999999999998"/>
    <n v="122.03999999999999"/>
  </r>
  <r>
    <s v="Rural"/>
    <x v="3"/>
    <x v="3"/>
    <d v="2016-04-01T00:00:00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  <n v="130.89230769230772"/>
    <n v="126.8"/>
    <n v="133.33333333333334"/>
    <n v="124.32499999999999"/>
  </r>
  <r>
    <s v="Urban"/>
    <x v="3"/>
    <x v="3"/>
    <d v="2016-04-01T00:00:00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31.25384615384615"/>
    <n v="126.39999999999999"/>
    <n v="124.36666666666667"/>
    <n v="120.12"/>
  </r>
  <r>
    <s v="Rural+Urban"/>
    <x v="3"/>
    <x v="3"/>
    <d v="2016-04-01T00:00:00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30.86923076923077"/>
    <n v="126.06666666666666"/>
    <n v="129.73333333333335"/>
    <n v="122.64000000000001"/>
  </r>
  <r>
    <s v="Rural"/>
    <x v="3"/>
    <x v="4"/>
    <d v="2016-05-01T00:00:00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  <n v="132.59230769230768"/>
    <n v="127.36666666666667"/>
    <n v="133.76666666666668"/>
    <n v="125.02500000000001"/>
  </r>
  <r>
    <s v="Urban"/>
    <x v="3"/>
    <x v="4"/>
    <d v="2016-05-01T00:00:00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34.36923076923074"/>
    <n v="126.89999999999999"/>
    <n v="124.7"/>
    <n v="120.58"/>
  </r>
  <r>
    <s v="Rural+Urban"/>
    <x v="3"/>
    <x v="4"/>
    <d v="2016-05-01T00:00:00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33.1076923076923"/>
    <n v="126.63333333333333"/>
    <n v="130.13333333333333"/>
    <n v="123.2"/>
  </r>
  <r>
    <s v="Rural"/>
    <x v="3"/>
    <x v="5"/>
    <d v="2016-06-01T00:00:00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  <n v="134.50769230769231"/>
    <n v="128.19999999999999"/>
    <n v="134.5"/>
    <n v="125.95"/>
  </r>
  <r>
    <s v="Urban"/>
    <x v="3"/>
    <x v="5"/>
    <d v="2016-06-01T00:00:00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37.46153846153848"/>
    <n v="127.40000000000002"/>
    <n v="125.09999999999998"/>
    <n v="121.16"/>
  </r>
  <r>
    <s v="Rural+Urban"/>
    <x v="3"/>
    <x v="5"/>
    <d v="2016-06-01T00:00:00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35.43076923076922"/>
    <n v="127.3"/>
    <n v="130.70000000000002"/>
    <n v="123.82000000000001"/>
  </r>
  <r>
    <s v="Rural"/>
    <x v="3"/>
    <x v="6"/>
    <d v="2016-07-01T00:00:00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  <n v="136.17692307692306"/>
    <n v="129"/>
    <n v="135.29999999999998"/>
    <n v="126.35000000000001"/>
  </r>
  <r>
    <s v="Urban"/>
    <x v="3"/>
    <x v="6"/>
    <d v="2016-07-01T00:00:00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39.34615384615387"/>
    <n v="127.7"/>
    <n v="125.3"/>
    <n v="121.58"/>
  </r>
  <r>
    <s v="Rural+Urban"/>
    <x v="3"/>
    <x v="6"/>
    <d v="2016-07-01T00:00:00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37.19230769230768"/>
    <n v="127.86666666666667"/>
    <n v="131.26666666666668"/>
    <n v="124.28000000000002"/>
  </r>
  <r>
    <s v="Rural"/>
    <x v="3"/>
    <x v="7"/>
    <d v="2016-08-01T00:00:00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  <n v="136.73076923076923"/>
    <n v="129.53333333333333"/>
    <n v="135.96666666666667"/>
    <n v="126.9"/>
  </r>
  <r>
    <s v="Urban"/>
    <x v="3"/>
    <x v="7"/>
    <d v="2016-08-01T00:00:00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37.2307692307692"/>
    <n v="128.03333333333333"/>
    <n v="125.66666666666667"/>
    <n v="121.55999999999999"/>
  </r>
  <r>
    <s v="Rural+Urban"/>
    <x v="3"/>
    <x v="7"/>
    <d v="2016-08-01T00:00:00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36.76153846153846"/>
    <n v="128.33333333333334"/>
    <n v="131.83333333333331"/>
    <n v="124.61999999999998"/>
  </r>
  <r>
    <s v="Rural"/>
    <x v="3"/>
    <x v="8"/>
    <d v="2016-09-01T00:00:00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  <n v="136.2076923076923"/>
    <n v="130.16666666666666"/>
    <n v="136.6"/>
    <n v="127.49999999999999"/>
  </r>
  <r>
    <s v="Urban"/>
    <x v="3"/>
    <x v="8"/>
    <d v="2016-09-01T00:00:00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35.10769230769228"/>
    <n v="128.4"/>
    <n v="126"/>
    <n v="122.08"/>
  </r>
  <r>
    <s v="Rural+Urban"/>
    <x v="3"/>
    <x v="8"/>
    <d v="2016-09-01T00:00:00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35.66923076923075"/>
    <n v="128.9"/>
    <n v="132.33333333333334"/>
    <n v="125.2"/>
  </r>
  <r>
    <s v="Rural"/>
    <x v="3"/>
    <x v="9"/>
    <d v="2016-10-01T00:00:00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  <n v="136.2923076923077"/>
    <n v="131.03333333333333"/>
    <n v="137.56666666666666"/>
    <n v="128.10000000000002"/>
  </r>
  <r>
    <s v="Urban"/>
    <x v="3"/>
    <x v="9"/>
    <d v="2016-10-01T00:00:00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35.6076923076923"/>
    <n v="128.79999999999998"/>
    <n v="126.33333333333333"/>
    <n v="122.62"/>
  </r>
  <r>
    <s v="Rural+Urban"/>
    <x v="3"/>
    <x v="9"/>
    <d v="2016-10-01T00:00:00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35.90769230769226"/>
    <n v="129.56666666666669"/>
    <n v="133.03333333333333"/>
    <n v="125.8"/>
  </r>
  <r>
    <s v="Rural"/>
    <x v="3"/>
    <x v="10"/>
    <d v="2016-11-01T00:00:0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  <n v="135.73846153846154"/>
    <n v="131.4"/>
    <n v="137.86666666666665"/>
    <n v="128.57499999999999"/>
  </r>
  <r>
    <s v="Urban"/>
    <x v="3"/>
    <x v="10"/>
    <d v="2016-11-01T00:00:0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35.01538461538462"/>
    <n v="129.1"/>
    <n v="126.73333333333333"/>
    <n v="123.1"/>
  </r>
  <r>
    <s v="Rural+Urban"/>
    <x v="3"/>
    <x v="10"/>
    <d v="2016-11-01T00:00:0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35.36923076923077"/>
    <n v="129.93333333333334"/>
    <n v="133.36666666666667"/>
    <n v="126.24000000000001"/>
  </r>
  <r>
    <s v="Rural"/>
    <x v="3"/>
    <x v="11"/>
    <d v="2016-12-01T00:00:00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  <n v="134.54615384615383"/>
    <n v="132"/>
    <n v="138.43333333333334"/>
    <n v="129.42500000000001"/>
  </r>
  <r>
    <s v="Urban"/>
    <x v="3"/>
    <x v="11"/>
    <d v="2016-12-01T00:00:00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33.06153846153845"/>
    <n v="129.4"/>
    <n v="127"/>
    <n v="123.46"/>
  </r>
  <r>
    <s v="Rural+Urban"/>
    <x v="3"/>
    <x v="11"/>
    <d v="2016-12-01T00:00:00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33.9"/>
    <n v="130.4"/>
    <n v="133.83333333333334"/>
    <n v="126.67999999999999"/>
  </r>
  <r>
    <s v="Rural"/>
    <x v="4"/>
    <x v="0"/>
    <d v="2017-01-01T00:00:0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  <n v="133.63846153846154"/>
    <n v="132.23333333333335"/>
    <n v="138.83333333333334"/>
    <n v="129.75"/>
  </r>
  <r>
    <s v="Urban"/>
    <x v="4"/>
    <x v="0"/>
    <d v="2017-01-01T00:00:0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31.78461538461539"/>
    <n v="129.9"/>
    <n v="127.16666666666667"/>
    <n v="124.05999999999999"/>
  </r>
  <r>
    <s v="Rural+Urban"/>
    <x v="4"/>
    <x v="0"/>
    <d v="2017-01-01T00:00:0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32.86923076923074"/>
    <n v="130.79999999999998"/>
    <n v="134.13333333333333"/>
    <n v="127.21999999999998"/>
  </r>
  <r>
    <s v="Rural"/>
    <x v="4"/>
    <x v="1"/>
    <d v="2017-02-01T00:00:00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  <n v="133.42307692307693"/>
    <n v="132.79999999999998"/>
    <n v="138.96666666666667"/>
    <n v="130.29999999999998"/>
  </r>
  <r>
    <s v="Urban"/>
    <x v="4"/>
    <x v="1"/>
    <d v="2017-02-01T00:00:00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31.17692307692309"/>
    <n v="130.29999999999998"/>
    <n v="127.43333333333334"/>
    <n v="124.58"/>
  </r>
  <r>
    <s v="Rural+Urban"/>
    <x v="4"/>
    <x v="1"/>
    <d v="2017-02-01T00:00:00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32.48461538461541"/>
    <n v="131.26666666666668"/>
    <n v="134.33333333333334"/>
    <n v="127.78"/>
  </r>
  <r>
    <s v="Rural"/>
    <x v="4"/>
    <x v="2"/>
    <d v="2017-03-01T00:00:00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  <n v="132.96153846153848"/>
    <n v="133.29999999999998"/>
    <n v="139.53333333333333"/>
    <n v="130.82499999999999"/>
  </r>
  <r>
    <s v="Urban"/>
    <x v="4"/>
    <x v="2"/>
    <d v="2017-03-01T00:00:00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31.2076923076923"/>
    <n v="130.83333333333334"/>
    <n v="127.73333333333335"/>
    <n v="125.18000000000002"/>
  </r>
  <r>
    <s v="Rural+Urban"/>
    <x v="4"/>
    <x v="2"/>
    <d v="2017-03-01T00:00:00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32.22307692307692"/>
    <n v="131.73333333333335"/>
    <n v="134.76666666666665"/>
    <n v="128.34"/>
  </r>
  <r>
    <s v="Rural"/>
    <x v="4"/>
    <x v="3"/>
    <d v="2017-04-01T00:00:00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  <n v="132.7923076923077"/>
    <n v="133.4"/>
    <n v="140.26666666666668"/>
    <n v="131.05000000000001"/>
  </r>
  <r>
    <s v="Urban"/>
    <x v="4"/>
    <x v="3"/>
    <d v="2017-04-01T00:00:00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31.3923076923077"/>
    <n v="131.03333333333333"/>
    <n v="128.06666666666666"/>
    <n v="125.4"/>
  </r>
  <r>
    <s v="Rural+Urban"/>
    <x v="4"/>
    <x v="3"/>
    <d v="2017-04-01T00:00:00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32.1846153846154"/>
    <n v="131.86666666666667"/>
    <n v="135.36666666666667"/>
    <n v="128.6"/>
  </r>
  <r>
    <s v="Rural"/>
    <x v="4"/>
    <x v="4"/>
    <d v="2017-05-01T00:00:00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  <n v="132.88461538461536"/>
    <n v="134.26666666666665"/>
    <n v="140.53333333333333"/>
    <n v="131.39999999999998"/>
  </r>
  <r>
    <s v="Urban"/>
    <x v="4"/>
    <x v="4"/>
    <d v="2017-05-01T00:00:00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31.50769230769231"/>
    <n v="131.23333333333335"/>
    <n v="128.29999999999998"/>
    <n v="125.35999999999999"/>
  </r>
  <r>
    <s v="Rural+Urban"/>
    <x v="4"/>
    <x v="4"/>
    <d v="2017-05-01T00:00:00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32.27692307692308"/>
    <n v="132.4"/>
    <n v="135.6"/>
    <n v="128.78"/>
  </r>
  <r>
    <s v="Rural"/>
    <x v="4"/>
    <x v="5"/>
    <d v="2017-06-01T00:00:00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  <n v="133.75384615384615"/>
    <n v="134.56666666666669"/>
    <n v="141.03333333333333"/>
    <n v="131.57499999999999"/>
  </r>
  <r>
    <s v="Urban"/>
    <x v="4"/>
    <x v="5"/>
    <d v="2017-06-01T00:00:00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33.15384615384616"/>
    <n v="131.4"/>
    <n v="128.29999999999998"/>
    <n v="125.08000000000001"/>
  </r>
  <r>
    <s v="Rural+Urban"/>
    <x v="4"/>
    <x v="5"/>
    <d v="2017-06-01T00:00:00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33.43846153846155"/>
    <n v="132.63333333333333"/>
    <n v="135.9"/>
    <n v="128.66000000000003"/>
  </r>
  <r>
    <s v="Rural"/>
    <x v="4"/>
    <x v="6"/>
    <d v="2017-07-01T00:00:00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  <n v="136.37692307692308"/>
    <n v="135.53333333333333"/>
    <n v="141.96666666666667"/>
    <n v="132.27500000000001"/>
  </r>
  <r>
    <s v="Urban"/>
    <x v="4"/>
    <x v="6"/>
    <d v="2017-07-01T00:00:00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36.00769230769231"/>
    <n v="132.33333333333334"/>
    <n v="128.56666666666669"/>
    <n v="125.64000000000001"/>
  </r>
  <r>
    <s v="Rural+Urban"/>
    <x v="4"/>
    <x v="6"/>
    <d v="2017-07-01T00:00:00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36.1076923076923"/>
    <n v="133.56666666666663"/>
    <n v="136.56666666666666"/>
    <n v="129.34"/>
  </r>
  <r>
    <s v="Rural"/>
    <x v="4"/>
    <x v="7"/>
    <d v="2017-08-01T00:00:00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  <n v="137.88461538461536"/>
    <n v="136.73333333333332"/>
    <n v="143"/>
    <n v="133.55000000000001"/>
  </r>
  <r>
    <s v="Urban"/>
    <x v="4"/>
    <x v="7"/>
    <d v="2017-08-01T00:00:00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36.38461538461536"/>
    <n v="133.33333333333334"/>
    <n v="129.46666666666667"/>
    <n v="126.25999999999999"/>
  </r>
  <r>
    <s v="Rural+Urban"/>
    <x v="4"/>
    <x v="7"/>
    <d v="2017-08-01T00:00:00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37.21538461538461"/>
    <n v="134.63333333333335"/>
    <n v="137.53333333333333"/>
    <n v="130.38000000000002"/>
  </r>
  <r>
    <s v="Rural"/>
    <x v="4"/>
    <x v="8"/>
    <d v="2017-09-01T00:00:00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  <n v="137.25384615384615"/>
    <n v="137.46666666666667"/>
    <n v="143.66666666666666"/>
    <n v="134.02500000000001"/>
  </r>
  <r>
    <s v="Urban"/>
    <x v="4"/>
    <x v="8"/>
    <d v="2017-09-01T00:00:00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34.59230769230768"/>
    <n v="134.20000000000002"/>
    <n v="129.96666666666667"/>
    <n v="127.2"/>
  </r>
  <r>
    <s v="Rural+Urban"/>
    <x v="4"/>
    <x v="8"/>
    <d v="2017-09-01T00:00:00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36.15384615384613"/>
    <n v="135.4"/>
    <n v="138.16666666666666"/>
    <n v="131.13999999999999"/>
  </r>
  <r>
    <s v="Rural"/>
    <x v="4"/>
    <x v="9"/>
    <d v="2017-10-01T00:00:00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  <n v="137.76153846153846"/>
    <n v="138.06666666666666"/>
    <n v="144.66666666666666"/>
    <n v="134.4"/>
  </r>
  <r>
    <s v="Urban"/>
    <x v="4"/>
    <x v="9"/>
    <d v="2017-10-01T00:00:00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35.82307692307691"/>
    <n v="134.63333333333333"/>
    <n v="130.5"/>
    <n v="127.9"/>
  </r>
  <r>
    <s v="Rural+Urban"/>
    <x v="4"/>
    <x v="9"/>
    <d v="2017-10-01T00:00:00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36.89999999999998"/>
    <n v="135.9"/>
    <n v="138.96666666666667"/>
    <n v="131.76"/>
  </r>
  <r>
    <s v="Rural"/>
    <x v="4"/>
    <x v="10"/>
    <d v="2017-11-01T00:00:0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  <n v="139.82307692307694"/>
    <n v="139.16666666666666"/>
    <n v="145.66666666666666"/>
    <n v="135.9"/>
  </r>
  <r>
    <s v="Urban"/>
    <x v="4"/>
    <x v="10"/>
    <d v="2017-11-01T00:00:0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38.2076923076923"/>
    <n v="135.39999999999998"/>
    <n v="131.29999999999998"/>
    <n v="129"/>
  </r>
  <r>
    <s v="Rural+Urban"/>
    <x v="4"/>
    <x v="10"/>
    <d v="2017-11-01T00:00:0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39.09230769230768"/>
    <n v="136.83333333333334"/>
    <n v="139.86666666666667"/>
    <n v="133.04"/>
  </r>
  <r>
    <s v="Rural"/>
    <x v="4"/>
    <x v="11"/>
    <d v="2017-12-01T00:00:00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  <n v="139.50769230769231"/>
    <n v="139.5"/>
    <n v="145.69999999999999"/>
    <n v="136.30000000000001"/>
  </r>
  <r>
    <s v="Urban"/>
    <x v="4"/>
    <x v="11"/>
    <d v="2017-12-01T00:00:00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35.96153846153845"/>
    <n v="135.9"/>
    <n v="131.73333333333332"/>
    <n v="129.44"/>
  </r>
  <r>
    <s v="Rural+Urban"/>
    <x v="4"/>
    <x v="11"/>
    <d v="2017-12-01T00:00:00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38.07692307692307"/>
    <n v="137.26666666666665"/>
    <n v="140.06666666666666"/>
    <n v="133.47999999999999"/>
  </r>
  <r>
    <s v="Rural"/>
    <x v="5"/>
    <x v="0"/>
    <d v="2018-01-01T00:00:0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  <n v="138.51538461538462"/>
    <n v="140.06666666666666"/>
    <n v="146.03333333333333"/>
    <n v="136.6"/>
  </r>
  <r>
    <s v="Urban"/>
    <x v="5"/>
    <x v="0"/>
    <d v="2018-01-01T00:00:0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34.48461538461541"/>
    <n v="136.56666666666666"/>
    <n v="132.1"/>
    <n v="130.12"/>
  </r>
  <r>
    <s v="Rural+Urban"/>
    <x v="5"/>
    <x v="0"/>
    <d v="2018-01-01T00:00:0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36.91538461538462"/>
    <n v="137.83333333333334"/>
    <n v="140.43333333333334"/>
    <n v="134.04"/>
  </r>
  <r>
    <s v="Rural"/>
    <x v="5"/>
    <x v="1"/>
    <d v="2018-02-01T00:00:00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  <n v="137.03846153846155"/>
    <n v="140.03333333333333"/>
    <n v="146.30000000000001"/>
    <n v="136.77500000000001"/>
  </r>
  <r>
    <s v="Urban"/>
    <x v="5"/>
    <x v="1"/>
    <d v="2018-02-01T00:00:00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32.91538461538462"/>
    <n v="137.43333333333334"/>
    <n v="132.36666666666665"/>
    <n v="130.61999999999998"/>
  </r>
  <r>
    <s v="Rural+Urban"/>
    <x v="5"/>
    <x v="1"/>
    <d v="2018-02-01T00:00:00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35.4153846153846"/>
    <n v="138.13333333333333"/>
    <n v="140.66666666666666"/>
    <n v="134.47999999999999"/>
  </r>
  <r>
    <s v="Rural"/>
    <x v="5"/>
    <x v="2"/>
    <d v="2018-03-01T00:00:00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  <n v="137.07692307692307"/>
    <n v="141.16666666666666"/>
    <n v="146.83333333333334"/>
    <n v="137.44999999999999"/>
  </r>
  <r>
    <s v="Urban"/>
    <x v="5"/>
    <x v="2"/>
    <d v="2018-03-01T00:00:00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31.96153846153845"/>
    <n v="137.86666666666667"/>
    <n v="132.86666666666665"/>
    <n v="130.95999999999998"/>
  </r>
  <r>
    <s v="Rural+Urban"/>
    <x v="5"/>
    <x v="2"/>
    <d v="2018-03-01T00:00:00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35.07692307692307"/>
    <n v="139.00000000000003"/>
    <n v="141.20000000000002"/>
    <n v="134.98000000000002"/>
  </r>
  <r>
    <s v="Rural"/>
    <x v="5"/>
    <x v="3"/>
    <d v="2018-04-01T00:00:00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  <n v="136.92307692307693"/>
    <n v="142.1"/>
    <n v="147.5"/>
    <n v="138.42500000000001"/>
  </r>
  <r>
    <s v="Urban"/>
    <x v="5"/>
    <x v="3"/>
    <d v="2018-04-01T00:00:00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32.30769230769232"/>
    <n v="138.33333333333331"/>
    <n v="133.80000000000001"/>
    <n v="131.58000000000001"/>
  </r>
  <r>
    <s v="Rural+Urban"/>
    <x v="5"/>
    <x v="3"/>
    <d v="2018-04-01T00:00:00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35.16153846153847"/>
    <n v="139.83333333333334"/>
    <n v="142"/>
    <n v="135.85999999999999"/>
  </r>
  <r>
    <s v="Rural"/>
    <x v="5"/>
    <x v="4"/>
    <d v="2018-05-01T00:00:00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  <n v="137.1076923076923"/>
    <n v="142.96666666666667"/>
    <n v="148.23333333333332"/>
    <n v="139.22499999999999"/>
  </r>
  <r>
    <s v="Urban"/>
    <x v="5"/>
    <x v="4"/>
    <d v="2018-05-01T00:00:00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32.53076923076921"/>
    <n v="139.06666666666669"/>
    <n v="134.5"/>
    <n v="132.11999999999998"/>
  </r>
  <r>
    <s v="Rural+Urban"/>
    <x v="5"/>
    <x v="4"/>
    <d v="2018-05-01T00:00:00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35.36923076923077"/>
    <n v="140.60000000000002"/>
    <n v="142.69999999999999"/>
    <n v="136.5"/>
  </r>
  <r>
    <s v="Rural"/>
    <x v="5"/>
    <x v="5"/>
    <d v="2018-06-01T00:00:00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  <n v="137.71538461538461"/>
    <n v="143.56666666666669"/>
    <n v="148.76666666666668"/>
    <n v="139.94999999999999"/>
  </r>
  <r>
    <s v="Urban"/>
    <x v="5"/>
    <x v="5"/>
    <d v="2018-06-01T00:00:00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34.40769230769232"/>
    <n v="139.66666666666666"/>
    <n v="135"/>
    <n v="132.74"/>
  </r>
  <r>
    <s v="Rural+Urban"/>
    <x v="5"/>
    <x v="5"/>
    <d v="2018-06-01T00:00:00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36.46923076923079"/>
    <n v="141.16666666666666"/>
    <n v="143.23333333333332"/>
    <n v="137"/>
  </r>
  <r>
    <s v="Rural"/>
    <x v="5"/>
    <x v="6"/>
    <d v="2018-07-01T00:00:00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  <n v="139.26923076923077"/>
    <n v="143.5"/>
    <n v="149.06666666666669"/>
    <n v="140.80000000000001"/>
  </r>
  <r>
    <s v="Urban"/>
    <x v="5"/>
    <x v="6"/>
    <d v="2018-07-01T00:00:00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36.23846153846154"/>
    <n v="140.19999999999999"/>
    <n v="135.46666666666667"/>
    <n v="133.88"/>
  </r>
  <r>
    <s v="Rural+Urban"/>
    <x v="5"/>
    <x v="6"/>
    <d v="2018-07-01T00:00:00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38.1"/>
    <n v="141.26666666666668"/>
    <n v="143.60000000000002"/>
    <n v="138.04000000000002"/>
  </r>
  <r>
    <s v="Rural"/>
    <x v="5"/>
    <x v="7"/>
    <d v="2018-08-01T00:00:00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  <n v="139.90769230769232"/>
    <n v="143.86666666666667"/>
    <n v="149.73333333333332"/>
    <n v="141.67500000000001"/>
  </r>
  <r>
    <s v="Urban"/>
    <x v="5"/>
    <x v="7"/>
    <d v="2018-08-01T00:00:00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35.96923076923076"/>
    <n v="140.96666666666667"/>
    <n v="135.76666666666668"/>
    <n v="134.95999999999998"/>
  </r>
  <r>
    <s v="Rural+Urban"/>
    <x v="5"/>
    <x v="7"/>
    <d v="2018-08-01T00:00:00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38.36153846153849"/>
    <n v="141.79999999999998"/>
    <n v="144.06666666666669"/>
    <n v="139.04"/>
  </r>
  <r>
    <s v="Rural"/>
    <x v="5"/>
    <x v="8"/>
    <d v="2018-09-01T00:00:00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  <n v="138.44615384615386"/>
    <n v="145.03333333333333"/>
    <n v="149.83333333333334"/>
    <n v="142.625"/>
  </r>
  <r>
    <s v="Urban"/>
    <x v="5"/>
    <x v="8"/>
    <d v="2018-09-01T00:00:00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34.49230769230769"/>
    <n v="141.79999999999998"/>
    <n v="136.4"/>
    <n v="135.82"/>
  </r>
  <r>
    <s v="Rural+Urban"/>
    <x v="5"/>
    <x v="8"/>
    <d v="2018-09-01T00:00:00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36.88461538461539"/>
    <n v="142.79999999999998"/>
    <n v="144.43333333333331"/>
    <n v="139.9"/>
  </r>
  <r>
    <s v="Rural"/>
    <x v="5"/>
    <x v="9"/>
    <d v="2018-10-01T00:00:00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  <n v="137.09230769230768"/>
    <n v="146.5"/>
    <n v="148.33333333333334"/>
    <n v="144"/>
  </r>
  <r>
    <s v="Urban"/>
    <x v="5"/>
    <x v="9"/>
    <d v="2018-10-01T00:00:00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34.93076923076922"/>
    <n v="142.4"/>
    <n v="137"/>
    <n v="136.72"/>
  </r>
  <r>
    <s v="Rural+Urban"/>
    <x v="5"/>
    <x v="9"/>
    <d v="2018-10-01T00:00:00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36.63076923076923"/>
    <n v="145.13333333333335"/>
    <n v="144.66666666666666"/>
    <n v="141.54000000000002"/>
  </r>
  <r>
    <s v="Rural"/>
    <x v="5"/>
    <x v="10"/>
    <d v="2018-11-01T00:00:0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  <n v="137.49999999999997"/>
    <n v="148.36666666666667"/>
    <n v="149.33333333333334"/>
    <n v="144.69999999999999"/>
  </r>
  <r>
    <s v="Urban"/>
    <x v="5"/>
    <x v="10"/>
    <d v="2018-11-01T00:00:0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35.19230769230768"/>
    <n v="142.63333333333335"/>
    <n v="137.70000000000002"/>
    <n v="137.34"/>
  </r>
  <r>
    <s v="Rural+Urban"/>
    <x v="5"/>
    <x v="10"/>
    <d v="2018-11-01T00:00:0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36.59230769230771"/>
    <n v="145.13333333333335"/>
    <n v="144.6"/>
    <n v="141.5"/>
  </r>
  <r>
    <s v="Rural"/>
    <x v="5"/>
    <x v="11"/>
    <d v="2018-12-01T00:00:00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  <n v="136.3923076923077"/>
    <n v="149.10000000000002"/>
    <n v="149.43333333333334"/>
    <n v="145.625"/>
  </r>
  <r>
    <s v="Urban"/>
    <x v="5"/>
    <x v="11"/>
    <d v="2018-12-01T00:00:00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34.35384615384615"/>
    <n v="142.66666666666666"/>
    <n v="137.93333333333334"/>
    <n v="136.07999999999998"/>
  </r>
  <r>
    <s v="Rural+Urban"/>
    <x v="5"/>
    <x v="11"/>
    <d v="2018-12-01T00:00:00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35.59999999999997"/>
    <n v="145.53333333333333"/>
    <n v="144.76666666666668"/>
    <n v="141.22"/>
  </r>
  <r>
    <s v="Rural"/>
    <x v="6"/>
    <x v="0"/>
    <d v="2019-01-01T00:00:0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  <n v="135.35384615384618"/>
    <n v="149.1"/>
    <n v="148.53333333333333"/>
    <n v="145.02499999999998"/>
  </r>
  <r>
    <s v="Urban"/>
    <x v="6"/>
    <x v="0"/>
    <d v="2019-01-01T00:00:0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34.17692307692309"/>
    <n v="142.80000000000001"/>
    <n v="138.16666666666666"/>
    <n v="135.56"/>
  </r>
  <r>
    <s v="Rural+Urban"/>
    <x v="6"/>
    <x v="0"/>
    <d v="2019-01-01T00:00:0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34.87692307692308"/>
    <n v="145.6"/>
    <n v="144.33333333333334"/>
    <n v="140.85999999999999"/>
  </r>
  <r>
    <s v="Rural"/>
    <x v="6"/>
    <x v="1"/>
    <d v="2019-02-01T00:00:00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  <n v="135.3692307692308"/>
    <n v="149.46666666666667"/>
    <n v="148.83333333333334"/>
    <n v="145.02499999999998"/>
  </r>
  <r>
    <s v="Urban"/>
    <x v="6"/>
    <x v="1"/>
    <d v="2019-02-01T00:00:00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34.95384615384617"/>
    <n v="143.16666666666666"/>
    <n v="138.5"/>
    <n v="135.60000000000002"/>
  </r>
  <r>
    <s v="Rural+Urban"/>
    <x v="6"/>
    <x v="1"/>
    <d v="2019-02-01T00:00:00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35.16153846153844"/>
    <n v="145.96666666666667"/>
    <n v="144.63333333333333"/>
    <n v="140.95999999999998"/>
  </r>
  <r>
    <s v="Rural"/>
    <x v="6"/>
    <x v="2"/>
    <d v="2019-03-01T00:00:00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  <n v="135.4769230769231"/>
    <n v="149.70000000000002"/>
    <n v="149"/>
    <n v="145.44999999999999"/>
  </r>
  <r>
    <s v="Urban"/>
    <x v="6"/>
    <x v="2"/>
    <d v="2019-03-01T00:00:00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36.03076923076924"/>
    <n v="143.70000000000002"/>
    <n v="138.76666666666665"/>
    <n v="136.24"/>
  </r>
  <r>
    <s v="Rural+Urban"/>
    <x v="6"/>
    <x v="2"/>
    <d v="2019-03-01T00:00:00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35.6076923076923"/>
    <n v="146.29999999999998"/>
    <n v="144.83333333333334"/>
    <n v="141.48000000000002"/>
  </r>
  <r>
    <s v="Rural"/>
    <x v="6"/>
    <x v="4"/>
    <d v="2019-05-01T00:00:00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  <n v="137.0846153846154"/>
    <n v="150.70000000000002"/>
    <n v="149.53333333333333"/>
    <n v="145.82499999999999"/>
  </r>
  <r>
    <s v="Urban"/>
    <x v="6"/>
    <x v="4"/>
    <d v="2019-05-01T00:00:00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39.34615384615387"/>
    <n v="144.5"/>
    <n v="139.29999999999998"/>
    <n v="136.95999999999998"/>
  </r>
  <r>
    <s v="Rural+Urban"/>
    <x v="6"/>
    <x v="4"/>
    <d v="2019-05-01T00:00:00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37.83846153846156"/>
    <n v="147.16666666666666"/>
    <n v="145.36666666666667"/>
    <n v="142.12"/>
  </r>
  <r>
    <s v="Rural"/>
    <x v="6"/>
    <x v="5"/>
    <d v="2019-06-01T00:00:00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  <n v="138.78461538461536"/>
    <n v="151.30000000000001"/>
    <n v="149.53333333333333"/>
    <n v="146.32499999999999"/>
  </r>
  <r>
    <s v="Urban"/>
    <x v="6"/>
    <x v="5"/>
    <d v="2019-06-01T00:00:00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41.0230769230769"/>
    <n v="144.86666666666667"/>
    <n v="139.46666666666667"/>
    <n v="137.16"/>
  </r>
  <r>
    <s v="Rural+Urban"/>
    <x v="6"/>
    <x v="5"/>
    <d v="2019-06-01T00:00:00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39.54615384615386"/>
    <n v="147.70000000000002"/>
    <n v="145.46666666666667"/>
    <n v="142.30000000000001"/>
  </r>
  <r>
    <s v="Rural"/>
    <x v="6"/>
    <x v="6"/>
    <d v="2019-07-01T00:00:00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  <n v="140.53076923076921"/>
    <n v="152.06666666666666"/>
    <n v="149.70000000000002"/>
    <n v="146.77500000000001"/>
  </r>
  <r>
    <s v="Urban"/>
    <x v="6"/>
    <x v="6"/>
    <d v="2019-07-01T00:00:00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42.87692307692308"/>
    <n v="145.56666666666666"/>
    <n v="139.76666666666668"/>
    <n v="137.26"/>
  </r>
  <r>
    <s v="Rural+Urban"/>
    <x v="6"/>
    <x v="6"/>
    <d v="2019-07-01T00:00:00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41.34615384615384"/>
    <n v="148.4"/>
    <n v="145.66666666666666"/>
    <n v="142.73999999999998"/>
  </r>
  <r>
    <s v="Rural"/>
    <x v="6"/>
    <x v="7"/>
    <d v="2019-08-01T00:00:00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  <n v="141.11538461538464"/>
    <n v="152.66666666666666"/>
    <n v="149.83333333333334"/>
    <n v="146.92500000000001"/>
  </r>
  <r>
    <s v="Urban"/>
    <x v="6"/>
    <x v="7"/>
    <d v="2019-08-01T00:00:00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43.77692307692308"/>
    <n v="146.20000000000002"/>
    <n v="140.06666666666666"/>
    <n v="137.5"/>
  </r>
  <r>
    <s v="Rural+Urban"/>
    <x v="6"/>
    <x v="7"/>
    <d v="2019-08-01T00:00:00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42.03846153846155"/>
    <n v="148.96666666666667"/>
    <n v="145.86666666666667"/>
    <n v="143.06"/>
  </r>
  <r>
    <s v="Rural"/>
    <x v="6"/>
    <x v="8"/>
    <d v="2019-09-01T00:00:00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  <n v="142.2076923076923"/>
    <n v="153.13333333333333"/>
    <n v="149.76666666666665"/>
    <n v="147.25"/>
  </r>
  <r>
    <s v="Urban"/>
    <x v="6"/>
    <x v="8"/>
    <d v="2019-09-01T00:00:00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44.22307692307692"/>
    <n v="146.73333333333332"/>
    <n v="140.26666666666668"/>
    <n v="137.97999999999999"/>
  </r>
  <r>
    <s v="Rural+Urban"/>
    <x v="6"/>
    <x v="8"/>
    <d v="2019-09-01T00:00:00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42.89999999999998"/>
    <n v="149.5"/>
    <n v="145.89999999999998"/>
    <n v="143.45999999999998"/>
  </r>
  <r>
    <s v="Rural"/>
    <x v="6"/>
    <x v="9"/>
    <d v="2019-10-01T00:00:00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44.37692307692305"/>
    <n v="153.56666666666666"/>
    <n v="149.79999999999998"/>
    <n v="147.67499999999998"/>
  </r>
  <r>
    <s v="Urban"/>
    <x v="6"/>
    <x v="9"/>
    <d v="2019-10-01T00:00:00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46.35384615384618"/>
    <n v="147.16666666666666"/>
    <n v="140.73333333333335"/>
    <n v="138.76"/>
  </r>
  <r>
    <s v="Rural+Urban"/>
    <x v="6"/>
    <x v="9"/>
    <d v="2019-10-01T00:00:00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45.04615384615383"/>
    <n v="149.93333333333331"/>
    <n v="146.13333333333335"/>
    <n v="144.06"/>
  </r>
  <r>
    <s v="Rural"/>
    <x v="6"/>
    <x v="10"/>
    <d v="2019-11-01T00:00:0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  <n v="146.50769230769231"/>
    <n v="154.13333333333333"/>
    <n v="150.26666666666668"/>
    <n v="148.05000000000001"/>
  </r>
  <r>
    <s v="Urban"/>
    <x v="6"/>
    <x v="10"/>
    <d v="2019-11-01T00:00:0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47.99999999999997"/>
    <n v="147.63333333333335"/>
    <n v="141.03333333333333"/>
    <n v="139.66"/>
  </r>
  <r>
    <s v="Rural+Urban"/>
    <x v="6"/>
    <x v="10"/>
    <d v="2019-11-01T00:00:0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46.99230769230769"/>
    <n v="150.43333333333334"/>
    <n v="146.5"/>
    <n v="144.64000000000001"/>
  </r>
  <r>
    <s v="Rural"/>
    <x v="6"/>
    <x v="11"/>
    <d v="2019-12-01T00:00:00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  <n v="149.30769230769226"/>
    <n v="154.79999999999998"/>
    <n v="150.6"/>
    <n v="149.30000000000001"/>
  </r>
  <r>
    <s v="Urban"/>
    <x v="6"/>
    <x v="11"/>
    <d v="2019-12-01T00:00:00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50.51538461538462"/>
    <n v="148.30000000000001"/>
    <n v="141.4"/>
    <n v="140.66"/>
  </r>
  <r>
    <s v="Rural+Urban"/>
    <x v="6"/>
    <x v="11"/>
    <d v="2019-12-01T00:00:00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49.70000000000002"/>
    <n v="151.1"/>
    <n v="146.86666666666667"/>
    <n v="145.56"/>
  </r>
  <r>
    <s v="Rural"/>
    <x v="7"/>
    <x v="0"/>
    <d v="2020-01-01T00:00:0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  <n v="149.12307692307692"/>
    <n v="155.6"/>
    <n v="150.76666666666668"/>
    <n v="150.02500000000001"/>
  </r>
  <r>
    <s v="Urban"/>
    <x v="7"/>
    <x v="0"/>
    <d v="2020-01-01T00:00:0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49.64615384615382"/>
    <n v="148.79999999999998"/>
    <n v="141.70000000000002"/>
    <n v="141.46"/>
  </r>
  <r>
    <s v="Rural+Urban"/>
    <x v="7"/>
    <x v="0"/>
    <d v="2020-01-01T00:00:0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49.26153846153846"/>
    <n v="151.79999999999998"/>
    <n v="147.06666666666666"/>
    <n v="146.34"/>
  </r>
  <r>
    <s v="Rural"/>
    <x v="7"/>
    <x v="1"/>
    <d v="2020-02-01T00:00:00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  <n v="146.90769230769229"/>
    <n v="156.06666666666669"/>
    <n v="150.93333333333334"/>
    <n v="150.5"/>
  </r>
  <r>
    <s v="Urban"/>
    <x v="7"/>
    <x v="1"/>
    <d v="2020-02-01T00:00:00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47.43076923076922"/>
    <n v="149.36666666666667"/>
    <n v="142"/>
    <n v="142.30000000000001"/>
  </r>
  <r>
    <s v="Rural+Urban"/>
    <x v="7"/>
    <x v="1"/>
    <d v="2020-02-01T00:00:00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47.04615384615383"/>
    <n v="152.29999999999998"/>
    <n v="147.33333333333334"/>
    <n v="146.98000000000002"/>
  </r>
  <r>
    <s v="Rural"/>
    <x v="7"/>
    <x v="2"/>
    <d v="2020-03-01T00:00:00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  <n v="145.73846153846151"/>
    <n v="156.76666666666665"/>
    <n v="151.16666666666666"/>
    <n v="150.47499999999999"/>
  </r>
  <r>
    <s v="Urban"/>
    <x v="7"/>
    <x v="2"/>
    <d v="2020-03-01T00:00:00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46.03846153846155"/>
    <n v="149.96666666666667"/>
    <n v="142.36666666666667"/>
    <n v="142.76"/>
  </r>
  <r>
    <s v="Rural+Urban"/>
    <x v="7"/>
    <x v="2"/>
    <d v="2020-03-01T00:00:00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45.80000000000001"/>
    <n v="152.9"/>
    <n v="147.63333333333335"/>
    <n v="147.16"/>
  </r>
  <r>
    <s v="Rural"/>
    <x v="7"/>
    <x v="3"/>
    <d v="2020-04-01T00:00:00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  <n v="146.80000000000001"/>
    <s v="NA"/>
    <s v="NA"/>
    <n v="148.4"/>
  </r>
  <r>
    <s v="Urban"/>
    <x v="7"/>
    <x v="3"/>
    <d v="2020-04-01T00:00:00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  <n v="148.79090909090908"/>
    <s v="NA"/>
    <s v="NA"/>
    <n v="146.35"/>
  </r>
  <r>
    <s v="Rural+Urban"/>
    <x v="7"/>
    <x v="3"/>
    <d v="2020-04-01T00:00:00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  <n v="147.51818181818183"/>
    <s v="NA"/>
    <s v="NA"/>
    <n v="149.85"/>
  </r>
  <r>
    <s v="Rural"/>
    <x v="7"/>
    <x v="4"/>
    <d v="2020-05-01T00:00: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s v="Urban"/>
    <x v="7"/>
    <x v="4"/>
    <d v="2020-05-01T00:00: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s v="Rural+Urban"/>
    <x v="7"/>
    <x v="4"/>
    <d v="2020-05-01T00:00: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s v="Rural"/>
    <x v="7"/>
    <x v="5"/>
    <d v="2020-06-01T00:00:00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62.43333333333334"/>
    <n v="152.93333333333331"/>
    <n v="149.94999999999999"/>
  </r>
  <r>
    <s v="Urban"/>
    <x v="7"/>
    <x v="5"/>
    <d v="2020-06-01T00:00:00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57.73333333333332"/>
    <n v="144.29999999999998"/>
    <n v="142.80000000000001"/>
  </r>
  <r>
    <s v="Rural+Urban"/>
    <x v="7"/>
    <x v="5"/>
    <d v="2020-06-01T00:00:00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59.6"/>
    <n v="149.43333333333331"/>
    <n v="146.88"/>
  </r>
  <r>
    <s v="Rural"/>
    <x v="7"/>
    <x v="6"/>
    <d v="2020-07-01T00:00:00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62.43333333333334"/>
    <n v="152.93333333333331"/>
    <n v="149.94999999999999"/>
  </r>
  <r>
    <s v="Urban"/>
    <x v="7"/>
    <x v="6"/>
    <d v="2020-07-01T00:00:00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57.73333333333332"/>
    <n v="144.29999999999998"/>
    <n v="142.80000000000001"/>
  </r>
  <r>
    <s v="Rural+Urban"/>
    <x v="7"/>
    <x v="6"/>
    <d v="2020-07-01T00:00:00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59.6"/>
    <n v="149.43333333333331"/>
    <n v="146.88"/>
  </r>
  <r>
    <s v="Rural"/>
    <x v="7"/>
    <x v="7"/>
    <d v="2020-08-01T00:00:00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  <n v="152.19999999999999"/>
    <n v="162.03333333333333"/>
    <n v="152.9"/>
    <n v="151"/>
  </r>
  <r>
    <s v="Urban"/>
    <x v="7"/>
    <x v="7"/>
    <d v="2020-08-01T00:00:00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155.76153846153846"/>
    <n v="157.73333333333332"/>
    <n v="144.33333333333334"/>
    <n v="145.54000000000002"/>
  </r>
  <r>
    <s v="Rural+Urban"/>
    <x v="7"/>
    <x v="7"/>
    <d v="2020-08-01T00:00:00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53.47692307692307"/>
    <n v="159.20000000000002"/>
    <n v="149.4"/>
    <n v="148.78"/>
  </r>
  <r>
    <s v="Rural"/>
    <x v="7"/>
    <x v="8"/>
    <d v="2020-09-01T00:00:00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  <n v="152.87692307692308"/>
    <n v="163.13333333333335"/>
    <n v="153.29999999999998"/>
    <n v="150.92500000000001"/>
  </r>
  <r>
    <s v="Urban"/>
    <x v="7"/>
    <x v="8"/>
    <d v="2020-09-01T00:00:00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157.04615384615386"/>
    <n v="158.83333333333334"/>
    <n v="144.86666666666667"/>
    <n v="145.78"/>
  </r>
  <r>
    <s v="Rural+Urban"/>
    <x v="7"/>
    <x v="8"/>
    <d v="2020-09-01T00:00:00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154.38461538461539"/>
    <n v="160.33333333333334"/>
    <n v="149.9"/>
    <n v="149"/>
  </r>
  <r>
    <s v="Rural"/>
    <x v="7"/>
    <x v="9"/>
    <d v="2020-10-01T00:00:00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  <n v="156.22307692307692"/>
    <n v="163.13333333333335"/>
    <n v="153.76666666666665"/>
    <n v="151.92500000000001"/>
  </r>
  <r>
    <s v="Urban"/>
    <x v="7"/>
    <x v="9"/>
    <d v="2020-10-01T00:00:00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160.01538461538459"/>
    <n v="158.96666666666667"/>
    <n v="144.96666666666667"/>
    <n v="145.95999999999998"/>
  </r>
  <r>
    <s v="Rural+Urban"/>
    <x v="7"/>
    <x v="9"/>
    <d v="2020-10-01T00:00:00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157.5846153846154"/>
    <n v="160.4"/>
    <n v="150.19999999999999"/>
    <n v="149.47999999999999"/>
  </r>
  <r>
    <s v="Rural"/>
    <x v="7"/>
    <x v="10"/>
    <d v="2020-11-01T00:00:0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  <n v="160.1846153846154"/>
    <n v="163.83333333333334"/>
    <n v="154.26666666666668"/>
    <n v="152"/>
  </r>
  <r>
    <s v="Urban"/>
    <x v="7"/>
    <x v="10"/>
    <d v="2020-11-01T00:00:0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163.1307692307692"/>
    <n v="159.93333333333337"/>
    <n v="145.43333333333334"/>
    <n v="146.39999999999998"/>
  </r>
  <r>
    <s v="Rural+Urban"/>
    <x v="7"/>
    <x v="10"/>
    <d v="2020-11-01T00:00:0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161.19999999999999"/>
    <n v="161.30000000000001"/>
    <n v="150.66666666666669"/>
    <n v="149.96"/>
  </r>
  <r>
    <s v="Rural"/>
    <x v="7"/>
    <x v="11"/>
    <d v="2020-12-01T00:00:00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  <n v="161.57692307692307"/>
    <n v="164.23333333333332"/>
    <n v="154.96666666666667"/>
    <n v="152.85"/>
  </r>
  <r>
    <s v="Urban"/>
    <x v="7"/>
    <x v="11"/>
    <d v="2020-12-01T00:00:00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163.49230769230769"/>
    <n v="160.46666666666667"/>
    <n v="146.06666666666669"/>
    <n v="146.83999999999997"/>
  </r>
  <r>
    <s v="Rural+Urban"/>
    <x v="7"/>
    <x v="11"/>
    <d v="2020-12-01T00:00:00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162.23846153846154"/>
    <n v="161.69999999999999"/>
    <n v="151.33333333333334"/>
    <n v="150.56"/>
  </r>
  <r>
    <s v="Rural"/>
    <x v="8"/>
    <x v="0"/>
    <d v="2021-01-01T00:00:0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  <n v="158.89999999999998"/>
    <n v="165.20000000000002"/>
    <n v="155.56666666666666"/>
    <n v="153.94999999999999"/>
  </r>
  <r>
    <s v="Urban"/>
    <x v="8"/>
    <x v="0"/>
    <d v="2021-01-01T00:00:0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161.30769230769232"/>
    <n v="161.60000000000002"/>
    <n v="146.66666666666666"/>
    <n v="147.86000000000001"/>
  </r>
  <r>
    <s v="Rural+Urban"/>
    <x v="8"/>
    <x v="0"/>
    <d v="2021-01-01T00:00:0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159.73076923076923"/>
    <n v="162.66666666666666"/>
    <n v="151.93333333333334"/>
    <n v="151.34"/>
  </r>
  <r>
    <s v="Rural"/>
    <x v="8"/>
    <x v="1"/>
    <d v="2021-02-01T00:00:00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  <n v="155.7923076923077"/>
    <n v="166.9"/>
    <n v="157.13333333333333"/>
    <n v="155.75"/>
  </r>
  <r>
    <s v="Urban"/>
    <x v="8"/>
    <x v="1"/>
    <d v="2021-02-01T00:00:00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158.92307692307693"/>
    <n v="163.30000000000001"/>
    <n v="148.06666666666666"/>
    <n v="150.5"/>
  </r>
  <r>
    <s v="Rural+Urban"/>
    <x v="8"/>
    <x v="1"/>
    <d v="2021-02-01T00:00:00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156.8692307692308"/>
    <n v="164.4"/>
    <n v="153.46666666666667"/>
    <n v="153.54000000000002"/>
  </r>
  <r>
    <s v="Rural"/>
    <x v="8"/>
    <x v="2"/>
    <d v="2021-03-01T00:00:00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155.82307692307694"/>
    <n v="167.06666666666666"/>
    <n v="157.63333333333333"/>
    <n v="156.47500000000002"/>
  </r>
  <r>
    <s v="Urban"/>
    <x v="8"/>
    <x v="2"/>
    <d v="2021-03-01T00:00:00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158.80769230769226"/>
    <n v="164.03333333333333"/>
    <n v="148.79999999999998"/>
    <n v="152.24"/>
  </r>
  <r>
    <s v="Rural+Urban"/>
    <x v="8"/>
    <x v="2"/>
    <d v="2021-03-01T00:00:00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156.87692307692308"/>
    <n v="164.83333333333334"/>
    <n v="154.03333333333333"/>
    <n v="154.6"/>
  </r>
  <r>
    <s v="Rural"/>
    <x v="8"/>
    <x v="3"/>
    <d v="2021-04-01T00:00:00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157.65384615384616"/>
    <n v="167.79999999999998"/>
    <n v="158.56666666666663"/>
    <n v="156.82499999999999"/>
  </r>
  <r>
    <s v="Urban"/>
    <x v="8"/>
    <x v="3"/>
    <d v="2021-04-01T00:00:00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160.73846153846154"/>
    <n v="164.66666666666666"/>
    <n v="149.53333333333333"/>
    <n v="152.72"/>
  </r>
  <r>
    <s v="Rural+Urban"/>
    <x v="8"/>
    <x v="3"/>
    <d v="2021-04-01T00:00:00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158.77692307692308"/>
    <n v="165.46666666666667"/>
    <n v="154.86666666666667"/>
    <n v="155.14000000000001"/>
  </r>
  <r>
    <s v="Rural"/>
    <x v="8"/>
    <x v="4"/>
    <d v="2021-05-01T00:00:00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  <n v="161.17692307692306"/>
    <n v="170.23333333333335"/>
    <n v="163.46666666666667"/>
    <n v="160.32499999999999"/>
  </r>
  <r>
    <s v="Urban"/>
    <x v="8"/>
    <x v="4"/>
    <d v="2021-05-01T00:00:00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163.43846153846155"/>
    <n v="167.7"/>
    <n v="150.26666666666665"/>
    <n v="153.76000000000002"/>
  </r>
  <r>
    <s v="Rural+Urban"/>
    <x v="8"/>
    <x v="4"/>
    <d v="2021-05-01T00:00:00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161.9769230769231"/>
    <n v="168.16666666666669"/>
    <n v="158.1"/>
    <n v="157.16"/>
  </r>
  <r>
    <s v="Rural"/>
    <x v="8"/>
    <x v="5"/>
    <d v="2021-06-01T00:00:00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  <n v="163.27692307692308"/>
    <n v="170.33333333333334"/>
    <n v="163.26666666666668"/>
    <n v="160.57499999999999"/>
  </r>
  <r>
    <s v="Urban"/>
    <x v="8"/>
    <x v="5"/>
    <d v="2021-06-01T00:00:00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165.7076923076923"/>
    <n v="166.56666666666663"/>
    <n v="150.86666666666667"/>
    <n v="154.40000000000003"/>
  </r>
  <r>
    <s v="Rural+Urban"/>
    <x v="8"/>
    <x v="5"/>
    <d v="2021-06-01T00:00:00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164.14615384615385"/>
    <n v="167.76666666666668"/>
    <n v="158.23333333333332"/>
    <n v="157.5"/>
  </r>
  <r>
    <s v="Rural"/>
    <x v="8"/>
    <x v="6"/>
    <d v="2021-07-01T00:00:00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  <n v="164.03076923076924"/>
    <n v="171.06666666666669"/>
    <n v="164.13333333333335"/>
    <n v="161.77499999999998"/>
  </r>
  <r>
    <s v="Urban"/>
    <x v="8"/>
    <x v="6"/>
    <d v="2021-07-01T00:00:00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167.06153846153848"/>
    <n v="167.23333333333332"/>
    <n v="151.76666666666668"/>
    <n v="155.94"/>
  </r>
  <r>
    <s v="Rural+Urban"/>
    <x v="8"/>
    <x v="6"/>
    <d v="2021-07-01T00:00:00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165.15384615384616"/>
    <n v="168.5"/>
    <n v="159.1"/>
    <n v="158.85999999999999"/>
  </r>
  <r>
    <s v="Rural"/>
    <x v="8"/>
    <x v="7"/>
    <d v="2021-08-01T00:00:00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  <n v="163.90769230769232"/>
    <n v="171.5333333333333"/>
    <n v="165.3"/>
    <n v="162.30000000000001"/>
  </r>
  <r>
    <s v="Urban"/>
    <x v="8"/>
    <x v="7"/>
    <d v="2021-08-01T00:00:00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165.99230769230769"/>
    <n v="168.73333333333332"/>
    <n v="153.56666666666666"/>
    <n v="157.35999999999999"/>
  </r>
  <r>
    <s v="Rural+Urban"/>
    <x v="8"/>
    <x v="7"/>
    <d v="2021-08-01T00:00:00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164.76923076923077"/>
    <n v="169.9"/>
    <n v="161"/>
    <n v="160"/>
  </r>
  <r>
    <s v="Rural"/>
    <x v="8"/>
    <x v="8"/>
    <d v="2021-09-01T00:00:00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  <n v="164.12307692307692"/>
    <n v="172.33333333333334"/>
    <n v="166.13333333333333"/>
    <n v="162.82499999999999"/>
  </r>
  <r>
    <s v="Urban"/>
    <x v="8"/>
    <x v="8"/>
    <d v="2021-09-01T00:00:00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165.99230769230769"/>
    <n v="168.79999999999998"/>
    <n v="153.6"/>
    <n v="157.4"/>
  </r>
  <r>
    <s v="Rural+Urban"/>
    <x v="8"/>
    <x v="8"/>
    <d v="2021-09-01T00:00:00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164.76923076923077"/>
    <n v="169.93333333333331"/>
    <n v="161.06666666666666"/>
    <n v="159.98000000000002"/>
  </r>
  <r>
    <s v="Rural"/>
    <x v="8"/>
    <x v="9"/>
    <d v="2021-10-01T00:00:00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  <n v="166.47692307692307"/>
    <n v="173.0333333333333"/>
    <n v="167.33333333333334"/>
    <n v="164"/>
  </r>
  <r>
    <s v="Urban"/>
    <x v="8"/>
    <x v="9"/>
    <d v="2021-10-01T00:00:00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169.10769230769236"/>
    <n v="169.70000000000002"/>
    <n v="154.50000000000003"/>
    <n v="158.51999999999998"/>
  </r>
  <r>
    <s v="Rural+Urban"/>
    <x v="8"/>
    <x v="9"/>
    <d v="2021-10-01T00:00:00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167.34615384615384"/>
    <n v="170.76666666666665"/>
    <n v="162.1"/>
    <n v="161.15999999999997"/>
  </r>
  <r>
    <s v="Rural"/>
    <x v="8"/>
    <x v="10"/>
    <d v="2021-11-01T00:00:0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  <n v="167.84615384615384"/>
    <n v="173.4666666666667"/>
    <n v="168.73333333333332"/>
    <n v="164.10000000000002"/>
  </r>
  <r>
    <s v="Urban"/>
    <x v="8"/>
    <x v="10"/>
    <d v="2021-11-01T00:00:0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170.60769230769228"/>
    <n v="170.33333333333334"/>
    <n v="155.76666666666668"/>
    <n v="158.6"/>
  </r>
  <r>
    <s v="Rural+Urban"/>
    <x v="8"/>
    <x v="10"/>
    <d v="2021-11-01T00:00:0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168.77692307692308"/>
    <n v="171.36666666666667"/>
    <n v="163.46666666666667"/>
    <n v="161.30000000000001"/>
  </r>
  <r>
    <s v="Rural"/>
    <x v="8"/>
    <x v="11"/>
    <d v="2021-12-01T00:00:00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  <n v="166.78461538461536"/>
    <n v="173.76666666666665"/>
    <n v="170.1"/>
    <n v="164.82499999999999"/>
  </r>
  <r>
    <s v="Urban"/>
    <x v="8"/>
    <x v="11"/>
    <d v="2021-12-01T00:00:00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169.71538461538464"/>
    <n v="170.73333333333335"/>
    <n v="156.9"/>
    <n v="158.70000000000002"/>
  </r>
  <r>
    <s v="Rural+Urban"/>
    <x v="8"/>
    <x v="11"/>
    <d v="2021-12-01T00:00:00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167.76153846153846"/>
    <n v="171.66666666666666"/>
    <n v="164.73333333333332"/>
    <n v="161.56"/>
  </r>
  <r>
    <s v="Rural"/>
    <x v="9"/>
    <x v="0"/>
    <d v="2022-01-01T00:00:0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  <n v="165.61538461538461"/>
    <n v="174.06666666666669"/>
    <n v="171.73333333333335"/>
    <n v="165.35000000000002"/>
  </r>
  <r>
    <s v="Urban"/>
    <x v="9"/>
    <x v="0"/>
    <d v="2022-01-01T00:00:0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168.2076923076923"/>
    <n v="171.13333333333333"/>
    <n v="158.46666666666667"/>
    <n v="159.32"/>
  </r>
  <r>
    <s v="Rural+Urban"/>
    <x v="9"/>
    <x v="0"/>
    <d v="2022-01-01T00:00:0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166.47692307692307"/>
    <n v="172.0333333333333"/>
    <n v="166.36666666666667"/>
    <n v="162.19999999999999"/>
  </r>
  <r>
    <s v="Rural"/>
    <x v="9"/>
    <x v="1"/>
    <d v="2022-02-01T00:00:00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  <n v="165.41538461538462"/>
    <n v="174.76666666666665"/>
    <n v="172.93333333333331"/>
    <n v="166.15"/>
  </r>
  <r>
    <s v="Urban"/>
    <x v="9"/>
    <x v="1"/>
    <d v="2022-02-01T00:00:00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167.96153846153845"/>
    <n v="171.79999999999998"/>
    <n v="159.83333333333334"/>
    <n v="160.19999999999999"/>
  </r>
  <r>
    <s v="Rural+Urban"/>
    <x v="9"/>
    <x v="1"/>
    <d v="2022-02-01T00:00:00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166.24615384615387"/>
    <n v="172.79999999999998"/>
    <n v="167.60000000000002"/>
    <n v="163.06"/>
  </r>
  <r>
    <s v="Rural"/>
    <x v="9"/>
    <x v="2"/>
    <d v="2022-03-01T00:00:00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  <n v="167.62307692307695"/>
    <n v="175.73333333333335"/>
    <n v="174.56666666666669"/>
    <n v="167"/>
  </r>
  <r>
    <s v="Urban"/>
    <x v="9"/>
    <x v="2"/>
    <d v="2022-03-01T00:00:00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168.94615384615386"/>
    <n v="172.96666666666667"/>
    <n v="161.53333333333333"/>
    <n v="161.06"/>
  </r>
  <r>
    <s v="Rural+Urban"/>
    <x v="9"/>
    <x v="2"/>
    <d v="2022-03-01T00:00:00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168.01538461538465"/>
    <n v="173.86666666666667"/>
    <n v="169.26666666666665"/>
    <n v="163.84"/>
  </r>
  <r>
    <s v="Rural"/>
    <x v="9"/>
    <x v="3"/>
    <d v="2022-04-01T00:00:00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  <n v="169.73846153846154"/>
    <n v="176.73333333333335"/>
    <n v="176.56666666666669"/>
    <n v="169.52500000000001"/>
  </r>
  <r>
    <s v="Urban"/>
    <x v="9"/>
    <x v="3"/>
    <d v="2022-04-01T00:00:00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171.56923076923078"/>
    <n v="174.13333333333333"/>
    <n v="163.06666666666666"/>
    <n v="164.12"/>
  </r>
  <r>
    <s v="Rural+Urban"/>
    <x v="9"/>
    <x v="3"/>
    <d v="2022-04-01T00:00:00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170.33076923076925"/>
    <n v="175.03333333333333"/>
    <n v="171.06666666666669"/>
    <n v="166.54"/>
  </r>
  <r>
    <s v="Rural"/>
    <x v="9"/>
    <x v="4"/>
    <d v="2022-05-01T00:00:00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  <n v="171.2923076923077"/>
    <n v="177.13333333333333"/>
    <n v="178.5"/>
    <n v="170.77500000000003"/>
  </r>
  <r>
    <s v="Urban"/>
    <x v="9"/>
    <x v="4"/>
    <d v="2022-05-01T00:00:00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174.01538461538465"/>
    <n v="174.83333333333334"/>
    <n v="164.56666666666666"/>
    <n v="165.34"/>
  </r>
  <r>
    <s v="Rural+Urban"/>
    <x v="9"/>
    <x v="4"/>
    <d v="2022-05-01T00:00:00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172.22307692307697"/>
    <n v="175.56666666666669"/>
    <n v="172.86666666666667"/>
    <n v="167.64"/>
  </r>
  <r>
    <s v="Rural"/>
    <x v="9"/>
    <x v="5"/>
    <d v="2022-06-01T00:00:00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  <n v="172.94615384615386"/>
    <n v="177.29999999999998"/>
    <n v="179.93333333333331"/>
    <n v="171.27500000000001"/>
  </r>
  <r>
    <s v="Urban"/>
    <x v="9"/>
    <x v="5"/>
    <d v="2022-06-01T00:00:00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175.96153846153845"/>
    <n v="175.4"/>
    <n v="166.13333333333333"/>
    <n v="165.5"/>
  </r>
  <r>
    <s v="Rural+Urban"/>
    <x v="9"/>
    <x v="5"/>
    <d v="2022-06-01T00:00:00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173.99230769230769"/>
    <n v="175.86666666666667"/>
    <n v="174.33333333333334"/>
    <n v="167.86"/>
  </r>
  <r>
    <s v="Rural"/>
    <x v="9"/>
    <x v="6"/>
    <d v="2022-07-01T00:00:00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  <n v="173.26923076923077"/>
    <n v="177.86666666666665"/>
    <n v="181.33333333333334"/>
    <n v="172.97500000000002"/>
  </r>
  <r>
    <s v="Urban"/>
    <x v="9"/>
    <x v="6"/>
    <d v="2022-07-01T00:00:00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176.27692307692308"/>
    <n v="175.96666666666667"/>
    <n v="167.33333333333334"/>
    <n v="167.38"/>
  </r>
  <r>
    <s v="Rural+Urban"/>
    <x v="9"/>
    <x v="6"/>
    <d v="2022-07-01T00:00:00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174.33076923076925"/>
    <n v="176.43333333333331"/>
    <n v="175.63333333333335"/>
    <n v="169.56"/>
  </r>
  <r>
    <s v="Rural"/>
    <x v="9"/>
    <x v="7"/>
    <d v="2022-08-01T00:00:00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  <n v="173.5230769230769"/>
    <n v="178.53333333333333"/>
    <n v="182.63333333333333"/>
    <n v="173.42500000000001"/>
  </r>
  <r>
    <s v="Urban"/>
    <x v="9"/>
    <x v="7"/>
    <d v="2022-08-01T00:00:00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176.43846153846152"/>
    <n v="176.39999999999998"/>
    <n v="168.43333333333331"/>
    <n v="167.83999999999997"/>
  </r>
  <r>
    <s v="Rural+Urban"/>
    <x v="9"/>
    <x v="7"/>
    <d v="2022-08-01T00:00:00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174.55384615384617"/>
    <n v="177"/>
    <n v="176.9"/>
    <n v="170.1"/>
  </r>
  <r>
    <s v="Rural"/>
    <x v="9"/>
    <x v="8"/>
    <d v="2022-09-01T00:00:00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  <n v="174.44615384615386"/>
    <n v="179.20000000000002"/>
    <n v="184.16666666666666"/>
    <n v="174.09999999999997"/>
  </r>
  <r>
    <s v="Urban"/>
    <x v="9"/>
    <x v="8"/>
    <d v="2022-09-01T00:00:00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177.41538461538462"/>
    <n v="177.20000000000002"/>
    <n v="169.9"/>
    <n v="168.56"/>
  </r>
  <r>
    <s v="Rural+Urban"/>
    <x v="9"/>
    <x v="8"/>
    <d v="2022-09-01T00:00:00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175.45384615384617"/>
    <n v="177.73333333333335"/>
    <n v="178.36666666666667"/>
    <n v="170.78"/>
  </r>
  <r>
    <s v="Rural"/>
    <x v="9"/>
    <x v="9"/>
    <d v="2022-10-01T00:00:00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  <n v="175.73076923076923"/>
    <n v="179.79999999999998"/>
    <n v="185.46666666666667"/>
    <n v="174.77500000000001"/>
  </r>
  <r>
    <s v="Urban"/>
    <x v="9"/>
    <x v="9"/>
    <d v="2022-10-01T00:00:00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178.63846153846154"/>
    <n v="177.73333333333335"/>
    <n v="170.56666666666669"/>
    <n v="169.44"/>
  </r>
  <r>
    <s v="Rural+Urban"/>
    <x v="9"/>
    <x v="9"/>
    <d v="2022-10-01T00:00:00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176.71538461538464"/>
    <n v="178.33333333333334"/>
    <n v="179.4"/>
    <n v="171.68"/>
  </r>
  <r>
    <s v="Rural"/>
    <x v="9"/>
    <x v="10"/>
    <d v="2022-11-01T00:00:0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  <n v="175.97692307692307"/>
    <n v="180.29999999999998"/>
    <n v="186.43333333333331"/>
    <n v="175.45"/>
  </r>
  <r>
    <s v="Urban"/>
    <x v="9"/>
    <x v="10"/>
    <d v="2022-11-01T00:00:0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178.03076923076924"/>
    <n v="178.23333333333332"/>
    <n v="171.63333333333333"/>
    <n v="169.88"/>
  </r>
  <r>
    <s v="Rural+Urban"/>
    <x v="9"/>
    <x v="10"/>
    <d v="2022-11-01T00:00:0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176.67692307692309"/>
    <n v="178.83333333333334"/>
    <n v="180.46666666666667"/>
    <n v="172.24"/>
  </r>
  <r>
    <s v="Rural"/>
    <x v="9"/>
    <x v="11"/>
    <d v="2022-12-01T00:00:00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  <n v="175.16153846153844"/>
    <n v="180.86666666666667"/>
    <n v="187.26666666666665"/>
    <n v="176.07499999999999"/>
  </r>
  <r>
    <s v="Urban"/>
    <x v="9"/>
    <x v="11"/>
    <d v="2022-12-01T00:00:00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176.59999999999997"/>
    <n v="178.79999999999998"/>
    <n v="172.63333333333333"/>
    <n v="169.95999999999998"/>
  </r>
  <r>
    <s v="Rural+Urban"/>
    <x v="9"/>
    <x v="11"/>
    <d v="2022-12-01T00:00:00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175.64615384615385"/>
    <n v="179.4"/>
    <n v="181.33333333333334"/>
    <n v="172.45999999999998"/>
  </r>
  <r>
    <s v="Rural"/>
    <x v="10"/>
    <x v="0"/>
    <d v="2023-01-01T00:00:0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  <n v="175.63076923076926"/>
    <n v="181.73333333333335"/>
    <n v="187.96666666666667"/>
    <n v="176.59999999999997"/>
  </r>
  <r>
    <s v="Urban"/>
    <x v="10"/>
    <x v="0"/>
    <d v="2023-01-01T00:00:0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177.70769230769233"/>
    <n v="179.43333333333331"/>
    <n v="173.53333333333333"/>
    <n v="170.3"/>
  </r>
  <r>
    <s v="Rural+Urban"/>
    <x v="10"/>
    <x v="0"/>
    <d v="2023-01-01T00:00:0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176.36153846153846"/>
    <n v="180.16666666666666"/>
    <n v="182.1"/>
    <n v="172.98000000000002"/>
  </r>
  <r>
    <s v="Rural"/>
    <x v="10"/>
    <x v="1"/>
    <d v="2023-02-01T00:00:00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  <n v="174.28461538461536"/>
    <n v="183"/>
    <n v="188.86666666666667"/>
    <n v="176.92500000000001"/>
  </r>
  <r>
    <s v="Urban"/>
    <x v="10"/>
    <x v="1"/>
    <d v="2023-02-01T00:00:00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177.16923076923075"/>
    <n v="180.36666666666667"/>
    <n v="175.16666666666666"/>
    <n v="171.56"/>
  </r>
  <r>
    <s v="Rural+Urban"/>
    <x v="10"/>
    <x v="1"/>
    <d v="2023-02-01T00:00:00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175.3153846153846"/>
    <n v="181.29999999999998"/>
    <n v="183.33333333333334"/>
    <n v="173.8"/>
  </r>
  <r>
    <s v="Rural"/>
    <x v="10"/>
    <x v="2"/>
    <d v="2023-03-01T00:00:00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  <n v="174.2923076923077"/>
    <n v="183.03333333333333"/>
    <n v="188.86666666666667"/>
    <n v="176.875"/>
  </r>
  <r>
    <s v="Urban"/>
    <x v="10"/>
    <x v="2"/>
    <d v="2023-03-01T00:00:00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177.1846153846154"/>
    <n v="180.36666666666667"/>
    <n v="175.13333333333333"/>
    <n v="171.51999999999998"/>
  </r>
  <r>
    <s v="Rural+Urban"/>
    <x v="10"/>
    <x v="2"/>
    <d v="2023-03-01T00:00:00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175.32307692307691"/>
    <n v="181.29999999999998"/>
    <n v="183.29999999999998"/>
    <n v="173.76"/>
  </r>
  <r>
    <s v="Rural"/>
    <x v="10"/>
    <x v="3"/>
    <d v="2023-04-01T00:00:00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174.93846153846152"/>
    <n v="183.86666666666667"/>
    <n v="189.4"/>
    <n v="177.35"/>
  </r>
  <r>
    <s v="Urban"/>
    <x v="10"/>
    <x v="3"/>
    <d v="2023-04-01T00:00:00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178.28461538461539"/>
    <n v="181.06666666666669"/>
    <n v="175.86666666666667"/>
    <n v="172.24"/>
  </r>
  <r>
    <s v="Rural+Urban"/>
    <x v="10"/>
    <x v="3"/>
    <d v="2023-04-01T00:00:00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176.12307692307695"/>
    <n v="182.1"/>
    <n v="183.93333333333331"/>
    <n v="174.48"/>
  </r>
  <r>
    <s v="Rural"/>
    <x v="10"/>
    <x v="4"/>
    <d v="2023-05-01T00:00:00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176.20769230769235"/>
    <n v="184.4"/>
    <n v="189.9666666666667"/>
    <n v="178.07499999999999"/>
  </r>
  <r>
    <s v="Urban"/>
    <x v="10"/>
    <x v="4"/>
    <d v="2023-05-01T00:00:00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179.62307692307692"/>
    <n v="181.66666666666666"/>
    <n v="176.23333333333335"/>
    <n v="172.85999999999999"/>
  </r>
  <r>
    <s v="Rural+Urban"/>
    <x v="10"/>
    <x v="4"/>
    <d v="2023-05-01T00:00:00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177.45384615384617"/>
    <n v="182.63333333333333"/>
    <n v="184.4"/>
    <n v="175.0999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d v="2013-01-01T00:00:0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  <n v="105.5153846153846"/>
    <n v="104.16666666666667"/>
    <n v="106.23333333333335"/>
    <n v="104.35000000000001"/>
    <n v="104.35"/>
  </r>
  <r>
    <x v="1"/>
    <x v="0"/>
    <x v="0"/>
    <d v="2013-01-01T00:00:0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05.87692307692308"/>
    <n v="103.93333333333334"/>
    <n v="105.56666666666666"/>
    <n v="103.44000000000001"/>
    <n v="104.19999999999999"/>
  </r>
  <r>
    <x v="2"/>
    <x v="0"/>
    <x v="0"/>
    <d v="2013-01-01T00:00:0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05.63846153846156"/>
    <n v="104.03333333333335"/>
    <n v="106"/>
    <n v="103.47999999999999"/>
    <n v="104.25"/>
  </r>
  <r>
    <x v="0"/>
    <x v="0"/>
    <x v="1"/>
    <d v="2013-02-01T00:00:00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  <n v="106.18461538461537"/>
    <n v="104.66666666666667"/>
    <n v="106.8"/>
    <n v="104.85"/>
    <n v="104.5"/>
  </r>
  <r>
    <x v="1"/>
    <x v="0"/>
    <x v="1"/>
    <d v="2013-02-01T00:00:00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06.96923076923078"/>
    <n v="104.53333333333335"/>
    <n v="106.16666666666667"/>
    <n v="103.88000000000002"/>
    <n v="104.5"/>
  </r>
  <r>
    <x v="2"/>
    <x v="0"/>
    <x v="1"/>
    <d v="2013-02-01T00:00:00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06.47692307692309"/>
    <n v="104.56666666666668"/>
    <n v="106.56666666666666"/>
    <n v="103.94000000000001"/>
    <n v="104.5"/>
  </r>
  <r>
    <x v="0"/>
    <x v="0"/>
    <x v="2"/>
    <d v="2013-03-01T00:00:00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  <n v="106.32307692307693"/>
    <n v="105.03333333333335"/>
    <n v="107.3"/>
    <n v="105.14999999999999"/>
    <n v="104.5"/>
  </r>
  <r>
    <x v="1"/>
    <x v="0"/>
    <x v="2"/>
    <d v="2013-03-01T00:00:00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06.67692307692307"/>
    <n v="105.06666666666668"/>
    <n v="106.73333333333333"/>
    <n v="104.28"/>
    <n v="104.7"/>
  </r>
  <r>
    <x v="2"/>
    <x v="0"/>
    <x v="2"/>
    <d v="2013-03-01T00:00:00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06.46153846153848"/>
    <n v="105"/>
    <n v="107.06666666666666"/>
    <n v="104.24000000000001"/>
    <n v="104.6"/>
  </r>
  <r>
    <x v="0"/>
    <x v="0"/>
    <x v="3"/>
    <d v="2013-04-01T00:00:00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  <n v="106.6"/>
    <n v="105.39999999999999"/>
    <n v="107.83333333333333"/>
    <n v="105.45"/>
    <n v="103.9"/>
  </r>
  <r>
    <x v="1"/>
    <x v="0"/>
    <x v="3"/>
    <d v="2013-04-01T00:00:00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07.5153846153846"/>
    <n v="105.86666666666667"/>
    <n v="107.33333333333333"/>
    <n v="104.72"/>
    <n v="104.45"/>
  </r>
  <r>
    <x v="2"/>
    <x v="0"/>
    <x v="3"/>
    <d v="2013-04-01T00:00:00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06.93846153846154"/>
    <n v="105.5"/>
    <n v="107.63333333333333"/>
    <n v="104.6"/>
    <n v="104.1"/>
  </r>
  <r>
    <x v="0"/>
    <x v="0"/>
    <x v="4"/>
    <d v="2013-05-01T00:00:00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  <n v="107.23076923076923"/>
    <n v="105.96666666666665"/>
    <n v="108.43333333333332"/>
    <n v="105.97499999999999"/>
    <n v="103.9"/>
  </r>
  <r>
    <x v="1"/>
    <x v="0"/>
    <x v="4"/>
    <d v="2013-05-01T00:00:00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09.0153846153846"/>
    <n v="106.43333333333332"/>
    <n v="107.83333333333333"/>
    <n v="104.88"/>
    <n v="104.4"/>
  </r>
  <r>
    <x v="2"/>
    <x v="0"/>
    <x v="4"/>
    <d v="2013-05-01T00:00:00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07.86153846153844"/>
    <n v="106.06666666666666"/>
    <n v="108.2"/>
    <n v="104.88"/>
    <n v="104.1"/>
  </r>
  <r>
    <x v="0"/>
    <x v="0"/>
    <x v="5"/>
    <d v="2013-06-01T00:00:00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  <n v="109.23076923076923"/>
    <n v="106.7"/>
    <n v="109.33333333333333"/>
    <n v="106.875"/>
    <n v="104.4"/>
  </r>
  <r>
    <x v="1"/>
    <x v="0"/>
    <x v="5"/>
    <d v="2013-06-01T00:00:00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12.66153846153847"/>
    <n v="107.40000000000002"/>
    <n v="108.43333333333334"/>
    <n v="107.12"/>
    <n v="104.9"/>
  </r>
  <r>
    <x v="2"/>
    <x v="0"/>
    <x v="5"/>
    <d v="2013-06-01T00:00:00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10.46153846153847"/>
    <n v="106.89999999999999"/>
    <n v="108.96666666666665"/>
    <n v="107"/>
    <n v="104.6"/>
  </r>
  <r>
    <x v="0"/>
    <x v="0"/>
    <x v="6"/>
    <d v="2013-07-01T00:00:00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  <n v="111.22307692307689"/>
    <n v="107.56666666666666"/>
    <n v="110.10000000000001"/>
    <n v="108.10000000000001"/>
    <n v="104.7"/>
  </r>
  <r>
    <x v="1"/>
    <x v="0"/>
    <x v="6"/>
    <d v="2013-07-01T00:00:00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14.56923076923077"/>
    <n v="108.30000000000001"/>
    <n v="109.03333333333335"/>
    <n v="108.35999999999999"/>
    <n v="105.15"/>
  </r>
  <r>
    <x v="2"/>
    <x v="0"/>
    <x v="6"/>
    <d v="2013-07-01T00:00:00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12.41538461538461"/>
    <n v="107.76666666666665"/>
    <n v="109.66666666666667"/>
    <n v="108.26000000000002"/>
    <n v="104.9"/>
  </r>
  <r>
    <x v="0"/>
    <x v="0"/>
    <x v="7"/>
    <d v="2013-08-01T00:00:00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  <n v="112.5"/>
    <n v="108.33333333333333"/>
    <n v="110.86666666666667"/>
    <n v="108.77500000000001"/>
    <n v="106.25"/>
  </r>
  <r>
    <x v="1"/>
    <x v="0"/>
    <x v="7"/>
    <d v="2013-08-01T00:00:00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15.85384615384616"/>
    <n v="109.06666666666666"/>
    <n v="109.69999999999999"/>
    <n v="109.16"/>
    <n v="106.8"/>
  </r>
  <r>
    <x v="2"/>
    <x v="0"/>
    <x v="7"/>
    <d v="2013-08-01T00:00:00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13.64615384615385"/>
    <n v="108.56666666666668"/>
    <n v="110.36666666666667"/>
    <n v="109.04"/>
    <n v="106.45"/>
  </r>
  <r>
    <x v="0"/>
    <x v="0"/>
    <x v="8"/>
    <d v="2013-09-01T00:00:00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  <n v="114.50000000000001"/>
    <n v="109.36666666666667"/>
    <n v="112.2"/>
    <n v="109.95"/>
    <n v="107.5"/>
  </r>
  <r>
    <x v="1"/>
    <x v="0"/>
    <x v="8"/>
    <d v="2013-09-01T00:00:00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15.41538461538462"/>
    <n v="109.90000000000002"/>
    <n v="110.5"/>
    <n v="110.08"/>
    <n v="107.4"/>
  </r>
  <r>
    <x v="2"/>
    <x v="0"/>
    <x v="8"/>
    <d v="2013-09-01T00:00:00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14.74615384615383"/>
    <n v="109.5"/>
    <n v="111.5"/>
    <n v="110.05999999999999"/>
    <n v="107.44999999999999"/>
  </r>
  <r>
    <x v="0"/>
    <x v="0"/>
    <x v="9"/>
    <d v="2013-10-01T00:00:00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  <n v="116"/>
    <n v="109.86666666666667"/>
    <n v="113.09999999999998"/>
    <n v="110.375"/>
    <n v="108.2"/>
  </r>
  <r>
    <x v="1"/>
    <x v="0"/>
    <x v="9"/>
    <d v="2013-10-01T00:00:00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16.7076923076923"/>
    <n v="110.3"/>
    <n v="111.39999999999999"/>
    <n v="110.28"/>
    <n v="107.75"/>
  </r>
  <r>
    <x v="2"/>
    <x v="0"/>
    <x v="9"/>
    <d v="2013-10-01T00:00:00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16.16923076923079"/>
    <n v="109.93333333333334"/>
    <n v="112.39999999999999"/>
    <n v="110.4"/>
    <n v="108"/>
  </r>
  <r>
    <x v="0"/>
    <x v="0"/>
    <x v="10"/>
    <d v="2013-11-01T00:00:0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  <n v="118.21538461538461"/>
    <n v="110.43333333333334"/>
    <n v="114.03333333333335"/>
    <n v="111.125"/>
    <n v="108.95"/>
  </r>
  <r>
    <x v="1"/>
    <x v="0"/>
    <x v="10"/>
    <d v="2013-11-01T00:00:0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18.8153846153846"/>
    <n v="110.73333333333333"/>
    <n v="112.26666666666667"/>
    <n v="110.55999999999999"/>
    <n v="108.25"/>
  </r>
  <r>
    <x v="2"/>
    <x v="0"/>
    <x v="10"/>
    <d v="2013-11-01T00:00:0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18.36923076923077"/>
    <n v="110.46666666666665"/>
    <n v="113.30000000000001"/>
    <n v="110.9"/>
    <n v="108.69999999999999"/>
  </r>
  <r>
    <x v="0"/>
    <x v="0"/>
    <x v="11"/>
    <d v="2013-12-01T00:00:00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  <n v="116.07692307692308"/>
    <n v="110.96666666666665"/>
    <n v="115.10000000000001"/>
    <n v="111.6"/>
    <n v="109.1"/>
  </r>
  <r>
    <x v="1"/>
    <x v="0"/>
    <x v="11"/>
    <d v="2013-12-01T00:00:00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15.72307692307693"/>
    <n v="111.23333333333333"/>
    <n v="112.93333333333334"/>
    <n v="110.7"/>
    <n v="108.35"/>
  </r>
  <r>
    <x v="2"/>
    <x v="0"/>
    <x v="11"/>
    <d v="2013-12-01T00:00:00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15.94615384615386"/>
    <n v="111"/>
    <n v="114.23333333333333"/>
    <n v="111.12"/>
    <n v="108.80000000000001"/>
  </r>
  <r>
    <x v="0"/>
    <x v="1"/>
    <x v="0"/>
    <d v="2014-01-01T00:00:0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  <n v="114.35384615384616"/>
    <n v="111.39999999999999"/>
    <n v="115.73333333333333"/>
    <n v="111.97500000000001"/>
    <n v="109.44999999999999"/>
  </r>
  <r>
    <x v="1"/>
    <x v="1"/>
    <x v="0"/>
    <d v="2014-01-01T00:00:0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14.17692307692307"/>
    <n v="112"/>
    <n v="113.46666666666665"/>
    <n v="111.35999999999999"/>
    <n v="108.85"/>
  </r>
  <r>
    <x v="2"/>
    <x v="1"/>
    <x v="0"/>
    <d v="2014-01-01T00:00:0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14.29230769230767"/>
    <n v="111.59999999999998"/>
    <n v="114.8"/>
    <n v="111.67999999999999"/>
    <n v="109.25"/>
  </r>
  <r>
    <x v="0"/>
    <x v="1"/>
    <x v="1"/>
    <d v="2014-02-01T00:00:00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  <n v="114.01538461538462"/>
    <n v="111.66666666666667"/>
    <n v="116.10000000000001"/>
    <n v="112.22500000000001"/>
    <n v="109.80000000000001"/>
  </r>
  <r>
    <x v="1"/>
    <x v="1"/>
    <x v="1"/>
    <d v="2014-02-01T00:00:00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13.53846153846153"/>
    <n v="112.5"/>
    <n v="113.89999999999999"/>
    <n v="111.82000000000001"/>
    <n v="109.55000000000001"/>
  </r>
  <r>
    <x v="2"/>
    <x v="1"/>
    <x v="1"/>
    <d v="2014-02-01T00:00:00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13.85384615384615"/>
    <n v="111.90000000000002"/>
    <n v="115.2"/>
    <n v="112.11999999999998"/>
    <n v="109.7"/>
  </r>
  <r>
    <x v="0"/>
    <x v="1"/>
    <x v="2"/>
    <d v="2014-03-01T00:00:00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  <n v="114.72307692307693"/>
    <n v="112.03333333333335"/>
    <n v="116.53333333333335"/>
    <n v="112.6"/>
    <n v="110.15"/>
  </r>
  <r>
    <x v="1"/>
    <x v="1"/>
    <x v="2"/>
    <d v="2014-03-01T00:00:00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14.07692307692308"/>
    <n v="113"/>
    <n v="114.36666666666666"/>
    <n v="112.1"/>
    <n v="110"/>
  </r>
  <r>
    <x v="2"/>
    <x v="1"/>
    <x v="2"/>
    <d v="2014-03-01T00:00:00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14.48461538461537"/>
    <n v="112.36666666666667"/>
    <n v="115.63333333333333"/>
    <n v="112.46"/>
    <n v="110.1"/>
  </r>
  <r>
    <x v="0"/>
    <x v="1"/>
    <x v="3"/>
    <d v="2014-04-01T00:00:00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  <n v="115.70000000000002"/>
    <n v="112.46666666666665"/>
    <n v="117.33333333333333"/>
    <n v="112.825"/>
    <n v="110.35"/>
  </r>
  <r>
    <x v="1"/>
    <x v="1"/>
    <x v="3"/>
    <d v="2014-04-01T00:00:00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15.69230769230771"/>
    <n v="113.40000000000002"/>
    <n v="114.83333333333333"/>
    <n v="112.38000000000002"/>
    <n v="110.05"/>
  </r>
  <r>
    <x v="2"/>
    <x v="1"/>
    <x v="3"/>
    <d v="2014-04-01T00:00:00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15.69999999999999"/>
    <n v="112.8"/>
    <n v="116.33333333333333"/>
    <n v="112.78"/>
    <n v="110.25"/>
  </r>
  <r>
    <x v="0"/>
    <x v="1"/>
    <x v="4"/>
    <d v="2014-05-01T00:00:00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  <n v="116.45384615384614"/>
    <n v="113"/>
    <n v="118"/>
    <n v="113"/>
    <n v="110.5"/>
  </r>
  <r>
    <x v="1"/>
    <x v="1"/>
    <x v="4"/>
    <d v="2014-05-01T00:00:00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17.33076923076925"/>
    <n v="113.83333333333333"/>
    <n v="115.3"/>
    <n v="112.74000000000001"/>
    <n v="110.25"/>
  </r>
  <r>
    <x v="2"/>
    <x v="1"/>
    <x v="4"/>
    <d v="2014-05-01T00:00:00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16.80769230769235"/>
    <n v="113.26666666666667"/>
    <n v="116.93333333333332"/>
    <n v="113.04"/>
    <n v="110.44999999999999"/>
  </r>
  <r>
    <x v="0"/>
    <x v="1"/>
    <x v="5"/>
    <d v="2014-06-01T00:00:00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  <n v="117.36153846153844"/>
    <n v="113.66666666666667"/>
    <n v="118.76666666666667"/>
    <n v="113.95"/>
    <n v="110.4"/>
  </r>
  <r>
    <x v="1"/>
    <x v="1"/>
    <x v="5"/>
    <d v="2014-06-01T00:00:00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19"/>
    <n v="114.33333333333333"/>
    <n v="115.76666666666667"/>
    <n v="113.2"/>
    <n v="110.05000000000001"/>
  </r>
  <r>
    <x v="2"/>
    <x v="1"/>
    <x v="5"/>
    <d v="2014-06-01T00:00:00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17.9769230769231"/>
    <n v="113.89999999999999"/>
    <n v="117.56666666666666"/>
    <n v="113.66000000000001"/>
    <n v="110.3"/>
  </r>
  <r>
    <x v="0"/>
    <x v="1"/>
    <x v="6"/>
    <d v="2014-07-01T00:00:00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  <n v="120.24615384615385"/>
    <n v="114.3"/>
    <n v="119.76666666666667"/>
    <n v="114.85"/>
    <n v="111.1"/>
  </r>
  <r>
    <x v="1"/>
    <x v="1"/>
    <x v="6"/>
    <d v="2014-07-01T00:00:00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23.03846153846153"/>
    <n v="115.63333333333333"/>
    <n v="116.33333333333333"/>
    <n v="114.41999999999999"/>
    <n v="110.6"/>
  </r>
  <r>
    <x v="2"/>
    <x v="1"/>
    <x v="6"/>
    <d v="2014-07-01T00:00:00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21.25384615384615"/>
    <n v="114.73333333333333"/>
    <n v="118.33333333333333"/>
    <n v="114.75999999999999"/>
    <n v="110.95"/>
  </r>
  <r>
    <x v="0"/>
    <x v="1"/>
    <x v="7"/>
    <d v="2014-08-01T00:00:00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  <n v="121.71538461538459"/>
    <n v="114.83333333333333"/>
    <n v="120.13333333333333"/>
    <n v="115.175"/>
    <n v="111.7"/>
  </r>
  <r>
    <x v="1"/>
    <x v="1"/>
    <x v="7"/>
    <d v="2014-08-01T00:00:00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24.38461538461539"/>
    <n v="116.60000000000001"/>
    <n v="116.86666666666667"/>
    <n v="114.86000000000001"/>
    <n v="111.35"/>
  </r>
  <r>
    <x v="2"/>
    <x v="1"/>
    <x v="7"/>
    <d v="2014-08-01T00:00:00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22.65384615384613"/>
    <n v="115.39999999999999"/>
    <n v="118.8"/>
    <n v="115.18000000000002"/>
    <n v="111.6"/>
  </r>
  <r>
    <x v="0"/>
    <x v="1"/>
    <x v="8"/>
    <d v="2014-09-01T00:00:00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  <n v="121.78461538461539"/>
    <n v="115.26666666666667"/>
    <n v="120.73333333333333"/>
    <n v="115.47499999999999"/>
    <n v="111.8"/>
  </r>
  <r>
    <x v="1"/>
    <x v="1"/>
    <x v="8"/>
    <d v="2014-09-01T00:00:00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22.59230769230771"/>
    <n v="117.09999999999998"/>
    <n v="117.36666666666667"/>
    <n v="114.91999999999999"/>
    <n v="111.15"/>
  </r>
  <r>
    <x v="2"/>
    <x v="1"/>
    <x v="8"/>
    <d v="2014-09-01T00:00:00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22.00769230769228"/>
    <n v="115.86666666666666"/>
    <n v="119.33333333333333"/>
    <n v="115.42"/>
    <n v="111.6"/>
  </r>
  <r>
    <x v="0"/>
    <x v="1"/>
    <x v="9"/>
    <d v="2014-10-01T00:00:00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  <n v="121.63076923076922"/>
    <n v="115.66666666666667"/>
    <n v="121.76666666666667"/>
    <n v="115.85"/>
    <n v="112.3"/>
  </r>
  <r>
    <x v="1"/>
    <x v="1"/>
    <x v="9"/>
    <d v="2014-10-01T00:00:00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22.11538461538461"/>
    <n v="117.19999999999999"/>
    <n v="117.8"/>
    <n v="115.14000000000001"/>
    <n v="111.35"/>
  </r>
  <r>
    <x v="2"/>
    <x v="1"/>
    <x v="9"/>
    <d v="2014-10-01T00:00:00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21.74615384615385"/>
    <n v="116.09999999999998"/>
    <n v="120.2"/>
    <n v="115.74000000000001"/>
    <n v="111.94999999999999"/>
  </r>
  <r>
    <x v="0"/>
    <x v="1"/>
    <x v="10"/>
    <d v="2014-11-01T00:00:0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  <n v="121.69230769230769"/>
    <n v="116.06666666666666"/>
    <n v="122.23333333333335"/>
    <n v="116.14999999999999"/>
    <n v="112.35"/>
  </r>
  <r>
    <x v="1"/>
    <x v="1"/>
    <x v="10"/>
    <d v="2014-11-01T00:00:0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22.13846153846154"/>
    <n v="117.73333333333335"/>
    <n v="118.39999999999999"/>
    <n v="115.22"/>
    <n v="111.3"/>
  </r>
  <r>
    <x v="2"/>
    <x v="1"/>
    <x v="10"/>
    <d v="2014-11-01T00:00:0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21.78461538461539"/>
    <n v="116.53333333333335"/>
    <n v="120.7"/>
    <n v="115.94000000000001"/>
    <n v="111.94999999999999"/>
  </r>
  <r>
    <x v="0"/>
    <x v="1"/>
    <x v="11"/>
    <d v="2014-12-01T00:00:00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  <n v="120.73846153846154"/>
    <n v="116.39999999999999"/>
    <n v="122.56666666666666"/>
    <n v="116.2"/>
    <n v="112.80000000000001"/>
  </r>
  <r>
    <x v="1"/>
    <x v="1"/>
    <x v="11"/>
    <d v="2014-12-01T00:00:00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21.32307692307691"/>
    <n v="118.03333333333335"/>
    <n v="118.83333333333333"/>
    <n v="115.16000000000001"/>
    <n v="111.80000000000001"/>
  </r>
  <r>
    <x v="2"/>
    <x v="1"/>
    <x v="11"/>
    <d v="2014-12-01T00:00:00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20.89999999999999"/>
    <n v="116.89999999999999"/>
    <n v="121.06666666666666"/>
    <n v="115.85999999999999"/>
    <n v="112.44999999999999"/>
  </r>
  <r>
    <x v="0"/>
    <x v="2"/>
    <x v="0"/>
    <d v="2015-01-01T00:00:0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  <n v="120.62307692307692"/>
    <n v="117.06666666666666"/>
    <n v="123.33333333333333"/>
    <n v="116.625"/>
    <n v="113.4"/>
  </r>
  <r>
    <x v="1"/>
    <x v="2"/>
    <x v="0"/>
    <d v="2015-01-01T00:00:0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21.14615384615384"/>
    <n v="118.46666666666665"/>
    <n v="119.10000000000001"/>
    <n v="115.31999999999998"/>
    <n v="112.55000000000001"/>
  </r>
  <r>
    <x v="2"/>
    <x v="2"/>
    <x v="0"/>
    <d v="2015-01-01T00:00:0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20.71538461538461"/>
    <n v="117.43333333333334"/>
    <n v="121.63333333333333"/>
    <n v="116.2"/>
    <n v="113.1"/>
  </r>
  <r>
    <x v="0"/>
    <x v="2"/>
    <x v="1"/>
    <d v="2015-02-01T00:00:00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  <n v="120.81538461538459"/>
    <n v="118"/>
    <n v="124.36666666666667"/>
    <n v="117.3"/>
    <n v="114.25"/>
  </r>
  <r>
    <x v="1"/>
    <x v="2"/>
    <x v="1"/>
    <d v="2015-02-01T00:00:00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20.85384615384616"/>
    <n v="118.73333333333333"/>
    <n v="119.46666666666665"/>
    <n v="115.4"/>
    <n v="112.9"/>
  </r>
  <r>
    <x v="2"/>
    <x v="2"/>
    <x v="1"/>
    <d v="2015-02-01T00:00:00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20.72307692307689"/>
    <n v="118.06666666666668"/>
    <n v="122.39999999999999"/>
    <n v="116.58"/>
    <n v="113.75"/>
  </r>
  <r>
    <x v="0"/>
    <x v="2"/>
    <x v="2"/>
    <d v="2015-03-01T00:00:00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  <n v="120.88461538461539"/>
    <n v="118.56666666666666"/>
    <n v="124.8"/>
    <n v="117.94999999999999"/>
    <n v="114.5"/>
  </r>
  <r>
    <x v="1"/>
    <x v="2"/>
    <x v="2"/>
    <d v="2015-03-01T00:00:00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20.61538461538463"/>
    <n v="119.33333333333333"/>
    <n v="119.83333333333333"/>
    <n v="116"/>
    <n v="112.8"/>
  </r>
  <r>
    <x v="2"/>
    <x v="2"/>
    <x v="2"/>
    <d v="2015-03-01T00:00:00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20.69999999999999"/>
    <n v="118.63333333333333"/>
    <n v="122.8"/>
    <n v="117.22"/>
    <n v="113.85"/>
  </r>
  <r>
    <x v="0"/>
    <x v="2"/>
    <x v="3"/>
    <d v="2015-04-01T00:00:00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  <n v="121.32307692307693"/>
    <n v="119.3"/>
    <n v="125.23333333333333"/>
    <n v="118.47499999999999"/>
    <n v="115.1"/>
  </r>
  <r>
    <x v="1"/>
    <x v="2"/>
    <x v="3"/>
    <d v="2015-04-01T00:00:00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21.23846153846154"/>
    <n v="119.96666666666665"/>
    <n v="120.2"/>
    <n v="116.48000000000002"/>
    <n v="113.19999999999999"/>
  </r>
  <r>
    <x v="2"/>
    <x v="2"/>
    <x v="3"/>
    <d v="2015-04-01T00:00:00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21.20769230769231"/>
    <n v="119.3"/>
    <n v="123.2"/>
    <n v="117.74000000000001"/>
    <n v="114.4"/>
  </r>
  <r>
    <x v="0"/>
    <x v="2"/>
    <x v="4"/>
    <d v="2015-05-01T00:00:00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  <n v="122.13076923076923"/>
    <n v="120.10000000000001"/>
    <n v="126.06666666666666"/>
    <n v="119.3"/>
    <n v="115.85"/>
  </r>
  <r>
    <x v="1"/>
    <x v="2"/>
    <x v="4"/>
    <d v="2015-05-01T00:00:00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22.9923076923077"/>
    <n v="120.83333333333333"/>
    <n v="120.46666666666665"/>
    <n v="117.2"/>
    <n v="113.65"/>
  </r>
  <r>
    <x v="2"/>
    <x v="2"/>
    <x v="4"/>
    <d v="2015-05-01T00:00:00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22.33846153846154"/>
    <n v="120.09999999999998"/>
    <n v="123.8"/>
    <n v="118.47999999999999"/>
    <n v="115"/>
  </r>
  <r>
    <x v="0"/>
    <x v="2"/>
    <x v="5"/>
    <d v="2015-06-01T00:00:00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  <n v="124.45384615384614"/>
    <n v="121.33333333333333"/>
    <n v="127.16666666666667"/>
    <n v="120.39999999999999"/>
    <n v="116.7"/>
  </r>
  <r>
    <x v="1"/>
    <x v="2"/>
    <x v="5"/>
    <d v="2015-06-01T00:00:00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25.89230769230768"/>
    <n v="121.43333333333334"/>
    <n v="121.03333333333335"/>
    <n v="117.75999999999999"/>
    <n v="113.95"/>
  </r>
  <r>
    <x v="2"/>
    <x v="2"/>
    <x v="5"/>
    <d v="2015-06-01T00:00:00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24.88461538461539"/>
    <n v="121.03333333333335"/>
    <n v="124.7"/>
    <n v="119.17999999999999"/>
    <n v="115.65"/>
  </r>
  <r>
    <x v="0"/>
    <x v="2"/>
    <x v="6"/>
    <d v="2015-07-01T00:00:00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  <n v="125.02307692307691"/>
    <n v="121.83333333333333"/>
    <n v="127.53333333333335"/>
    <n v="120.75"/>
    <n v="116.75"/>
  </r>
  <r>
    <x v="1"/>
    <x v="2"/>
    <x v="6"/>
    <d v="2015-07-01T00:00:00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26.37692307692306"/>
    <n v="122"/>
    <n v="121.36666666666667"/>
    <n v="118.32000000000001"/>
    <n v="113.85"/>
  </r>
  <r>
    <x v="2"/>
    <x v="2"/>
    <x v="6"/>
    <d v="2015-07-01T00:00:00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25.43076923076924"/>
    <n v="121.60000000000001"/>
    <n v="125.03333333333335"/>
    <n v="119.67999999999999"/>
    <n v="115.65"/>
  </r>
  <r>
    <x v="0"/>
    <x v="2"/>
    <x v="7"/>
    <d v="2015-08-01T00:00:00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  <n v="126.66153846153846"/>
    <n v="122.26666666666667"/>
    <n v="128.26666666666668"/>
    <n v="121.17500000000001"/>
    <n v="116.8"/>
  </r>
  <r>
    <x v="1"/>
    <x v="2"/>
    <x v="7"/>
    <d v="2015-08-01T00:00:00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27.6076923076923"/>
    <n v="122.53333333333332"/>
    <n v="121.60000000000001"/>
    <n v="118.46000000000001"/>
    <n v="114.3"/>
  </r>
  <r>
    <x v="2"/>
    <x v="2"/>
    <x v="7"/>
    <d v="2015-08-01T00:00:00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26.89230769230768"/>
    <n v="122.06666666666666"/>
    <n v="125.56666666666668"/>
    <n v="120.05999999999999"/>
    <n v="115.85"/>
  </r>
  <r>
    <x v="0"/>
    <x v="2"/>
    <x v="8"/>
    <d v="2015-09-01T00:00:00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  <n v="127.50769230769232"/>
    <n v="123.13333333333333"/>
    <n v="129.03333333333333"/>
    <n v="121.625"/>
    <n v="117.55000000000001"/>
  </r>
  <r>
    <x v="1"/>
    <x v="2"/>
    <x v="8"/>
    <d v="2015-09-01T00:00:00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28.06153846153845"/>
    <n v="122.73333333333333"/>
    <n v="121.93333333333334"/>
    <n v="118.54"/>
    <n v="115"/>
  </r>
  <r>
    <x v="2"/>
    <x v="2"/>
    <x v="8"/>
    <d v="2015-09-01T00:00:00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27.56153846153848"/>
    <n v="122.60000000000001"/>
    <n v="126.16666666666667"/>
    <n v="120.32000000000001"/>
    <n v="116.6"/>
  </r>
  <r>
    <x v="0"/>
    <x v="2"/>
    <x v="9"/>
    <d v="2015-10-01T00:00:00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  <n v="128.8153846153846"/>
    <n v="123.60000000000001"/>
    <n v="129.66666666666666"/>
    <n v="122.1"/>
    <n v="118.1"/>
  </r>
  <r>
    <x v="1"/>
    <x v="2"/>
    <x v="9"/>
    <d v="2015-10-01T00:00:00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30.21538461538464"/>
    <n v="123.16666666666667"/>
    <n v="122.26666666666665"/>
    <n v="118.75999999999999"/>
    <n v="115.6"/>
  </r>
  <r>
    <x v="2"/>
    <x v="2"/>
    <x v="9"/>
    <d v="2015-10-01T00:00:00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29.15384615384613"/>
    <n v="123.03333333333335"/>
    <n v="126.7"/>
    <n v="120.7"/>
    <n v="117.15"/>
  </r>
  <r>
    <x v="0"/>
    <x v="2"/>
    <x v="10"/>
    <d v="2015-11-01T00:00:0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  <n v="129.71538461538461"/>
    <n v="124.23333333333333"/>
    <n v="130.6"/>
    <n v="122.75"/>
    <n v="118.4"/>
  </r>
  <r>
    <x v="1"/>
    <x v="2"/>
    <x v="10"/>
    <d v="2015-11-01T00:00:0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31.42307692307691"/>
    <n v="124.03333333333335"/>
    <n v="122.83333333333333"/>
    <n v="118.97999999999999"/>
    <n v="115.69999999999999"/>
  </r>
  <r>
    <x v="2"/>
    <x v="2"/>
    <x v="10"/>
    <d v="2015-11-01T00:00:0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30.16153846153844"/>
    <n v="123.63333333333333"/>
    <n v="127.46666666666665"/>
    <n v="121.13999999999999"/>
    <n v="117.35"/>
  </r>
  <r>
    <x v="0"/>
    <x v="2"/>
    <x v="11"/>
    <d v="2015-12-01T00:00:00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  <n v="129.40769230769232"/>
    <n v="124.83333333333333"/>
    <n v="130.96666666666667"/>
    <n v="122.82499999999999"/>
    <n v="118.6"/>
  </r>
  <r>
    <x v="1"/>
    <x v="2"/>
    <x v="11"/>
    <d v="2015-12-01T00:00:00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30.67692307692306"/>
    <n v="124.33333333333331"/>
    <n v="123.13333333333333"/>
    <n v="119.05999999999999"/>
    <n v="115.9"/>
  </r>
  <r>
    <x v="2"/>
    <x v="2"/>
    <x v="11"/>
    <d v="2015-12-01T00:00:00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29.70000000000002"/>
    <n v="124.13333333333333"/>
    <n v="127.83333333333333"/>
    <n v="121.14000000000001"/>
    <n v="117.55000000000001"/>
  </r>
  <r>
    <x v="0"/>
    <x v="3"/>
    <x v="0"/>
    <d v="2016-01-01T00:00:0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  <n v="130.00769230769231"/>
    <n v="125.03333333333335"/>
    <n v="131.56666666666669"/>
    <n v="123.14999999999999"/>
    <n v="119.30000000000001"/>
  </r>
  <r>
    <x v="1"/>
    <x v="3"/>
    <x v="0"/>
    <d v="2016-01-01T00:00:0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30.87692307692308"/>
    <n v="124.93333333333334"/>
    <n v="123.5"/>
    <n v="119.43999999999998"/>
    <n v="116.55"/>
  </r>
  <r>
    <x v="2"/>
    <x v="3"/>
    <x v="0"/>
    <d v="2016-01-01T00:00:0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30.13076923076923"/>
    <n v="124.5"/>
    <n v="128.29999999999998"/>
    <n v="121.53999999999999"/>
    <n v="118.25"/>
  </r>
  <r>
    <x v="0"/>
    <x v="3"/>
    <x v="1"/>
    <d v="2016-02-01T00:00:00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  <n v="129.43076923076922"/>
    <n v="125.86666666666667"/>
    <n v="132.36666666666667"/>
    <n v="123.9"/>
    <n v="120.55"/>
  </r>
  <r>
    <x v="1"/>
    <x v="3"/>
    <x v="1"/>
    <d v="2016-02-01T00:00:00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28.93076923076922"/>
    <n v="125.33333333333333"/>
    <n v="123.86666666666667"/>
    <n v="119.51999999999998"/>
    <n v="117.85"/>
  </r>
  <r>
    <x v="2"/>
    <x v="3"/>
    <x v="1"/>
    <d v="2016-02-01T00:00:00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29.08461538461538"/>
    <n v="125.09999999999998"/>
    <n v="128.96666666666667"/>
    <n v="122.02000000000001"/>
    <n v="119.55"/>
  </r>
  <r>
    <x v="0"/>
    <x v="3"/>
    <x v="2"/>
    <d v="2016-03-01T00:00:00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  <n v="129.43846153846155"/>
    <n v="126.2"/>
    <n v="132.80000000000001"/>
    <n v="123.94999999999999"/>
    <n v="121.1"/>
  </r>
  <r>
    <x v="1"/>
    <x v="3"/>
    <x v="2"/>
    <d v="2016-03-01T00:00:00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28.27692307692308"/>
    <n v="125.66666666666667"/>
    <n v="124.06666666666666"/>
    <n v="119.38"/>
    <n v="118.4"/>
  </r>
  <r>
    <x v="2"/>
    <x v="3"/>
    <x v="2"/>
    <d v="2016-03-01T00:00:00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28.86153846153846"/>
    <n v="125.46666666666668"/>
    <n v="129.29999999999998"/>
    <n v="122.03999999999999"/>
    <n v="120.1"/>
  </r>
  <r>
    <x v="0"/>
    <x v="3"/>
    <x v="3"/>
    <d v="2016-04-01T00:00:00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  <n v="130.89230769230772"/>
    <n v="126.8"/>
    <n v="133.33333333333334"/>
    <n v="124.32499999999999"/>
    <n v="121.80000000000001"/>
  </r>
  <r>
    <x v="1"/>
    <x v="3"/>
    <x v="3"/>
    <d v="2016-04-01T00:00:00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31.25384615384615"/>
    <n v="126.39999999999999"/>
    <n v="124.36666666666667"/>
    <n v="120.12"/>
    <n v="118.8"/>
  </r>
  <r>
    <x v="2"/>
    <x v="3"/>
    <x v="3"/>
    <d v="2016-04-01T00:00:00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30.86923076923077"/>
    <n v="126.06666666666666"/>
    <n v="129.73333333333335"/>
    <n v="122.64000000000001"/>
    <n v="120.65"/>
  </r>
  <r>
    <x v="0"/>
    <x v="3"/>
    <x v="4"/>
    <d v="2016-05-01T00:00:00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  <n v="132.59230769230768"/>
    <n v="127.36666666666667"/>
    <n v="133.76666666666668"/>
    <n v="125.02500000000001"/>
    <n v="122.75"/>
  </r>
  <r>
    <x v="1"/>
    <x v="3"/>
    <x v="4"/>
    <d v="2016-05-01T00:00:00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34.36923076923074"/>
    <n v="126.89999999999999"/>
    <n v="124.7"/>
    <n v="120.58"/>
    <n v="119.4"/>
  </r>
  <r>
    <x v="2"/>
    <x v="3"/>
    <x v="4"/>
    <d v="2016-05-01T00:00:00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33.1076923076923"/>
    <n v="126.63333333333333"/>
    <n v="130.13333333333333"/>
    <n v="123.2"/>
    <n v="121.45"/>
  </r>
  <r>
    <x v="0"/>
    <x v="3"/>
    <x v="5"/>
    <d v="2016-06-01T00:00:00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  <n v="134.50769230769231"/>
    <n v="128.19999999999999"/>
    <n v="134.5"/>
    <n v="125.95"/>
    <n v="123.05000000000001"/>
  </r>
  <r>
    <x v="1"/>
    <x v="3"/>
    <x v="5"/>
    <d v="2016-06-01T00:00:00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37.46153846153848"/>
    <n v="127.40000000000002"/>
    <n v="125.09999999999998"/>
    <n v="121.16"/>
    <n v="119.69999999999999"/>
  </r>
  <r>
    <x v="2"/>
    <x v="3"/>
    <x v="5"/>
    <d v="2016-06-01T00:00:00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35.43076923076922"/>
    <n v="127.3"/>
    <n v="130.70000000000002"/>
    <n v="123.82000000000001"/>
    <n v="121.75"/>
  </r>
  <r>
    <x v="0"/>
    <x v="3"/>
    <x v="6"/>
    <d v="2016-07-01T00:00:00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  <n v="136.17692307692306"/>
    <n v="129"/>
    <n v="135.29999999999998"/>
    <n v="126.35000000000001"/>
    <n v="123.80000000000001"/>
  </r>
  <r>
    <x v="1"/>
    <x v="3"/>
    <x v="6"/>
    <d v="2016-07-01T00:00:00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39.34615384615387"/>
    <n v="127.7"/>
    <n v="125.3"/>
    <n v="121.58"/>
    <n v="120.45"/>
  </r>
  <r>
    <x v="2"/>
    <x v="3"/>
    <x v="6"/>
    <d v="2016-07-01T00:00:00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37.19230769230768"/>
    <n v="127.86666666666667"/>
    <n v="131.26666666666668"/>
    <n v="124.28000000000002"/>
    <n v="122.5"/>
  </r>
  <r>
    <x v="0"/>
    <x v="3"/>
    <x v="7"/>
    <d v="2016-08-01T00:00:00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  <n v="136.73076923076923"/>
    <n v="129.53333333333333"/>
    <n v="135.96666666666667"/>
    <n v="126.9"/>
    <n v="124.5"/>
  </r>
  <r>
    <x v="1"/>
    <x v="3"/>
    <x v="7"/>
    <d v="2016-08-01T00:00:00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37.2307692307692"/>
    <n v="128.03333333333333"/>
    <n v="125.66666666666667"/>
    <n v="121.55999999999999"/>
    <n v="121.05000000000001"/>
  </r>
  <r>
    <x v="2"/>
    <x v="3"/>
    <x v="7"/>
    <d v="2016-08-01T00:00:00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36.76153846153846"/>
    <n v="128.33333333333334"/>
    <n v="131.83333333333331"/>
    <n v="124.61999999999998"/>
    <n v="123.15"/>
  </r>
  <r>
    <x v="0"/>
    <x v="3"/>
    <x v="8"/>
    <d v="2016-09-01T00:00:00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  <n v="136.2076923076923"/>
    <n v="130.16666666666666"/>
    <n v="136.6"/>
    <n v="127.49999999999999"/>
    <n v="125.3"/>
  </r>
  <r>
    <x v="1"/>
    <x v="3"/>
    <x v="8"/>
    <d v="2016-09-01T00:00:00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35.10769230769228"/>
    <n v="128.4"/>
    <n v="126"/>
    <n v="122.08"/>
    <n v="121.30000000000001"/>
  </r>
  <r>
    <x v="2"/>
    <x v="3"/>
    <x v="8"/>
    <d v="2016-09-01T00:00:00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35.66923076923075"/>
    <n v="128.9"/>
    <n v="132.33333333333334"/>
    <n v="125.2"/>
    <n v="123.75"/>
  </r>
  <r>
    <x v="0"/>
    <x v="3"/>
    <x v="9"/>
    <d v="2016-10-01T00:00:00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  <n v="136.2923076923077"/>
    <n v="131.03333333333333"/>
    <n v="137.56666666666666"/>
    <n v="128.10000000000002"/>
    <n v="125.85"/>
  </r>
  <r>
    <x v="1"/>
    <x v="3"/>
    <x v="9"/>
    <d v="2016-10-01T00:00:00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35.6076923076923"/>
    <n v="128.79999999999998"/>
    <n v="126.33333333333333"/>
    <n v="122.62"/>
    <n v="121.3"/>
  </r>
  <r>
    <x v="2"/>
    <x v="3"/>
    <x v="9"/>
    <d v="2016-10-01T00:00:00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35.90769230769226"/>
    <n v="129.56666666666669"/>
    <n v="133.03333333333333"/>
    <n v="125.8"/>
    <n v="124.1"/>
  </r>
  <r>
    <x v="0"/>
    <x v="3"/>
    <x v="10"/>
    <d v="2016-11-01T00:00:0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  <n v="135.73846153846154"/>
    <n v="131.4"/>
    <n v="137.86666666666665"/>
    <n v="128.57499999999999"/>
    <n v="126.3"/>
  </r>
  <r>
    <x v="1"/>
    <x v="3"/>
    <x v="10"/>
    <d v="2016-11-01T00:00:0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35.01538461538462"/>
    <n v="129.1"/>
    <n v="126.73333333333333"/>
    <n v="123.1"/>
    <n v="121.69999999999999"/>
  </r>
  <r>
    <x v="2"/>
    <x v="3"/>
    <x v="10"/>
    <d v="2016-11-01T00:00:0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35.36923076923077"/>
    <n v="129.93333333333334"/>
    <n v="133.36666666666667"/>
    <n v="126.24000000000001"/>
    <n v="124.5"/>
  </r>
  <r>
    <x v="0"/>
    <x v="3"/>
    <x v="11"/>
    <d v="2016-12-01T00:00:00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  <n v="134.54615384615383"/>
    <n v="132"/>
    <n v="138.43333333333334"/>
    <n v="129.42500000000001"/>
    <n v="125.8"/>
  </r>
  <r>
    <x v="1"/>
    <x v="3"/>
    <x v="11"/>
    <d v="2016-12-01T00:00:00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33.06153846153845"/>
    <n v="129.4"/>
    <n v="127"/>
    <n v="123.46"/>
    <n v="121.1"/>
  </r>
  <r>
    <x v="2"/>
    <x v="3"/>
    <x v="11"/>
    <d v="2016-12-01T00:00:00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33.9"/>
    <n v="130.4"/>
    <n v="133.83333333333334"/>
    <n v="126.67999999999999"/>
    <n v="124"/>
  </r>
  <r>
    <x v="0"/>
    <x v="4"/>
    <x v="0"/>
    <d v="2017-01-01T00:00:0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  <n v="133.63846153846154"/>
    <n v="132.23333333333335"/>
    <n v="138.83333333333334"/>
    <n v="129.75"/>
    <n v="126.1"/>
  </r>
  <r>
    <x v="1"/>
    <x v="4"/>
    <x v="0"/>
    <d v="2017-01-01T00:00:0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31.78461538461539"/>
    <n v="129.9"/>
    <n v="127.16666666666667"/>
    <n v="124.05999999999999"/>
    <n v="121.75"/>
  </r>
  <r>
    <x v="2"/>
    <x v="4"/>
    <x v="0"/>
    <d v="2017-01-01T00:00:0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32.86923076923074"/>
    <n v="130.79999999999998"/>
    <n v="134.13333333333333"/>
    <n v="127.21999999999998"/>
    <n v="124.4"/>
  </r>
  <r>
    <x v="0"/>
    <x v="4"/>
    <x v="1"/>
    <d v="2017-02-01T00:00:00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  <n v="133.42307692307693"/>
    <n v="132.79999999999998"/>
    <n v="138.96666666666667"/>
    <n v="130.29999999999998"/>
    <n v="126.65"/>
  </r>
  <r>
    <x v="1"/>
    <x v="4"/>
    <x v="1"/>
    <d v="2017-02-01T00:00:00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31.17692307692309"/>
    <n v="130.29999999999998"/>
    <n v="127.43333333333334"/>
    <n v="124.58"/>
    <n v="122.30000000000001"/>
  </r>
  <r>
    <x v="2"/>
    <x v="4"/>
    <x v="1"/>
    <d v="2017-02-01T00:00:00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32.48461538461541"/>
    <n v="131.26666666666668"/>
    <n v="134.33333333333334"/>
    <n v="127.78"/>
    <n v="125"/>
  </r>
  <r>
    <x v="0"/>
    <x v="4"/>
    <x v="2"/>
    <d v="2017-03-01T00:00:00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  <n v="132.96153846153848"/>
    <n v="133.29999999999998"/>
    <n v="139.53333333333333"/>
    <n v="130.82499999999999"/>
    <n v="126.94999999999999"/>
  </r>
  <r>
    <x v="1"/>
    <x v="4"/>
    <x v="2"/>
    <d v="2017-03-01T00:00:00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31.2076923076923"/>
    <n v="130.83333333333334"/>
    <n v="127.73333333333335"/>
    <n v="125.18000000000002"/>
    <n v="122.4"/>
  </r>
  <r>
    <x v="2"/>
    <x v="4"/>
    <x v="2"/>
    <d v="2017-03-01T00:00:00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32.22307692307692"/>
    <n v="131.73333333333335"/>
    <n v="134.76666666666665"/>
    <n v="128.34"/>
    <n v="125.19999999999999"/>
  </r>
  <r>
    <x v="0"/>
    <x v="4"/>
    <x v="3"/>
    <d v="2017-04-01T00:00:00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  <n v="132.7923076923077"/>
    <n v="133.4"/>
    <n v="140.26666666666668"/>
    <n v="131.05000000000001"/>
    <n v="127.35"/>
  </r>
  <r>
    <x v="1"/>
    <x v="4"/>
    <x v="3"/>
    <d v="2017-04-01T00:00:00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31.3923076923077"/>
    <n v="131.03333333333333"/>
    <n v="128.06666666666666"/>
    <n v="125.4"/>
    <n v="122.80000000000001"/>
  </r>
  <r>
    <x v="2"/>
    <x v="4"/>
    <x v="3"/>
    <d v="2017-04-01T00:00:00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32.1846153846154"/>
    <n v="131.86666666666667"/>
    <n v="135.36666666666667"/>
    <n v="128.6"/>
    <n v="125.6"/>
  </r>
  <r>
    <x v="0"/>
    <x v="4"/>
    <x v="4"/>
    <d v="2017-05-01T00:00:00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  <n v="132.88461538461536"/>
    <n v="134.26666666666665"/>
    <n v="140.53333333333333"/>
    <n v="131.39999999999998"/>
    <n v="127.55000000000001"/>
  </r>
  <r>
    <x v="1"/>
    <x v="4"/>
    <x v="4"/>
    <d v="2017-05-01T00:00:00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31.50769230769231"/>
    <n v="131.23333333333335"/>
    <n v="128.29999999999998"/>
    <n v="125.35999999999999"/>
    <n v="122.8"/>
  </r>
  <r>
    <x v="2"/>
    <x v="4"/>
    <x v="4"/>
    <d v="2017-05-01T00:00:00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32.27692307692308"/>
    <n v="132.4"/>
    <n v="135.6"/>
    <n v="128.78"/>
    <n v="125.7"/>
  </r>
  <r>
    <x v="0"/>
    <x v="4"/>
    <x v="5"/>
    <d v="2017-06-01T00:00:00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  <n v="133.75384615384615"/>
    <n v="134.56666666666669"/>
    <n v="141.03333333333333"/>
    <n v="131.57499999999999"/>
    <n v="127.7"/>
  </r>
  <r>
    <x v="1"/>
    <x v="4"/>
    <x v="5"/>
    <d v="2017-06-01T00:00:00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33.15384615384616"/>
    <n v="131.4"/>
    <n v="128.29999999999998"/>
    <n v="125.08000000000001"/>
    <n v="123.15"/>
  </r>
  <r>
    <x v="2"/>
    <x v="4"/>
    <x v="5"/>
    <d v="2017-06-01T00:00:00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33.43846153846155"/>
    <n v="132.63333333333333"/>
    <n v="135.9"/>
    <n v="128.66000000000003"/>
    <n v="125.95"/>
  </r>
  <r>
    <x v="0"/>
    <x v="4"/>
    <x v="6"/>
    <d v="2017-07-01T00:00:00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  <n v="136.37692307692308"/>
    <n v="135.53333333333333"/>
    <n v="141.96666666666667"/>
    <n v="132.27500000000001"/>
    <n v="128.25"/>
  </r>
  <r>
    <x v="1"/>
    <x v="4"/>
    <x v="6"/>
    <d v="2017-07-01T00:00:00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36.00769230769231"/>
    <n v="132.33333333333334"/>
    <n v="128.56666666666669"/>
    <n v="125.64000000000001"/>
    <n v="123.7"/>
  </r>
  <r>
    <x v="2"/>
    <x v="4"/>
    <x v="6"/>
    <d v="2017-07-01T00:00:00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36.1076923076923"/>
    <n v="133.56666666666663"/>
    <n v="136.56666666666666"/>
    <n v="129.34"/>
    <n v="126.5"/>
  </r>
  <r>
    <x v="0"/>
    <x v="4"/>
    <x v="7"/>
    <d v="2017-08-01T00:00:00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  <n v="137.88461538461536"/>
    <n v="136.73333333333332"/>
    <n v="143"/>
    <n v="133.55000000000001"/>
    <n v="129.19999999999999"/>
  </r>
  <r>
    <x v="1"/>
    <x v="4"/>
    <x v="7"/>
    <d v="2017-08-01T00:00:00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36.38461538461536"/>
    <n v="133.33333333333334"/>
    <n v="129.46666666666667"/>
    <n v="126.25999999999999"/>
    <n v="124.5"/>
  </r>
  <r>
    <x v="2"/>
    <x v="4"/>
    <x v="7"/>
    <d v="2017-08-01T00:00:00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37.21538461538461"/>
    <n v="134.63333333333335"/>
    <n v="137.53333333333333"/>
    <n v="130.38000000000002"/>
    <n v="127.35"/>
  </r>
  <r>
    <x v="0"/>
    <x v="4"/>
    <x v="8"/>
    <d v="2017-09-01T00:00:00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  <n v="137.25384615384615"/>
    <n v="137.46666666666667"/>
    <n v="143.66666666666666"/>
    <n v="134.02500000000001"/>
    <n v="130.05000000000001"/>
  </r>
  <r>
    <x v="1"/>
    <x v="4"/>
    <x v="8"/>
    <d v="2017-09-01T00:00:00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34.59230769230768"/>
    <n v="134.20000000000002"/>
    <n v="129.96666666666667"/>
    <n v="127.2"/>
    <n v="125.25"/>
  </r>
  <r>
    <x v="2"/>
    <x v="4"/>
    <x v="8"/>
    <d v="2017-09-01T00:00:00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36.15384615384613"/>
    <n v="135.4"/>
    <n v="138.16666666666666"/>
    <n v="131.13999999999999"/>
    <n v="128.15"/>
  </r>
  <r>
    <x v="0"/>
    <x v="4"/>
    <x v="9"/>
    <d v="2017-10-01T00:00:00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  <n v="137.76153846153846"/>
    <n v="138.06666666666666"/>
    <n v="144.66666666666666"/>
    <n v="134.4"/>
    <n v="130.80000000000001"/>
  </r>
  <r>
    <x v="1"/>
    <x v="4"/>
    <x v="9"/>
    <d v="2017-10-01T00:00:00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35.82307692307691"/>
    <n v="134.63333333333333"/>
    <n v="130.5"/>
    <n v="127.9"/>
    <n v="125.6"/>
  </r>
  <r>
    <x v="2"/>
    <x v="4"/>
    <x v="9"/>
    <d v="2017-10-01T00:00:00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36.89999999999998"/>
    <n v="135.9"/>
    <n v="138.96666666666667"/>
    <n v="131.76"/>
    <n v="128.75"/>
  </r>
  <r>
    <x v="0"/>
    <x v="4"/>
    <x v="10"/>
    <d v="2017-11-01T00:00:0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  <n v="139.82307692307694"/>
    <n v="139.16666666666666"/>
    <n v="145.66666666666666"/>
    <n v="135.9"/>
    <n v="131.94999999999999"/>
  </r>
  <r>
    <x v="1"/>
    <x v="4"/>
    <x v="10"/>
    <d v="2017-11-01T00:00:0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38.2076923076923"/>
    <n v="135.39999999999998"/>
    <n v="131.29999999999998"/>
    <n v="129"/>
    <n v="126.15"/>
  </r>
  <r>
    <x v="2"/>
    <x v="4"/>
    <x v="10"/>
    <d v="2017-11-01T00:00:0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39.09230769230768"/>
    <n v="136.83333333333334"/>
    <n v="139.86666666666667"/>
    <n v="133.04"/>
    <n v="129.69999999999999"/>
  </r>
  <r>
    <x v="0"/>
    <x v="4"/>
    <x v="11"/>
    <d v="2017-12-01T00:00:00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  <n v="139.50769230769231"/>
    <n v="139.5"/>
    <n v="145.69999999999999"/>
    <n v="136.30000000000001"/>
    <n v="131.94999999999999"/>
  </r>
  <r>
    <x v="1"/>
    <x v="4"/>
    <x v="11"/>
    <d v="2017-12-01T00:00:00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35.96153846153845"/>
    <n v="135.9"/>
    <n v="131.73333333333332"/>
    <n v="129.44"/>
    <n v="126.39999999999999"/>
  </r>
  <r>
    <x v="2"/>
    <x v="4"/>
    <x v="11"/>
    <d v="2017-12-01T00:00:00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38.07692307692307"/>
    <n v="137.26666666666665"/>
    <n v="140.06666666666666"/>
    <n v="133.47999999999999"/>
    <n v="129.80000000000001"/>
  </r>
  <r>
    <x v="0"/>
    <x v="5"/>
    <x v="0"/>
    <d v="2018-01-01T00:00:0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  <n v="138.51538461538462"/>
    <n v="140.06666666666666"/>
    <n v="146.03333333333333"/>
    <n v="136.6"/>
    <n v="132.30000000000001"/>
  </r>
  <r>
    <x v="1"/>
    <x v="5"/>
    <x v="0"/>
    <d v="2018-01-01T00:00:0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34.48461538461541"/>
    <n v="136.56666666666666"/>
    <n v="132.1"/>
    <n v="130.12"/>
    <n v="127.25"/>
  </r>
  <r>
    <x v="2"/>
    <x v="5"/>
    <x v="0"/>
    <d v="2018-01-01T00:00:0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36.91538461538462"/>
    <n v="137.83333333333334"/>
    <n v="140.43333333333334"/>
    <n v="134.04"/>
    <n v="130.30000000000001"/>
  </r>
  <r>
    <x v="0"/>
    <x v="5"/>
    <x v="1"/>
    <d v="2018-02-01T00:00:00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  <n v="137.03846153846155"/>
    <n v="140.03333333333333"/>
    <n v="146.30000000000001"/>
    <n v="136.77500000000001"/>
    <n v="132.5"/>
  </r>
  <r>
    <x v="1"/>
    <x v="5"/>
    <x v="1"/>
    <d v="2018-02-01T00:00:00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32.91538461538462"/>
    <n v="137.43333333333334"/>
    <n v="132.36666666666665"/>
    <n v="130.61999999999998"/>
    <n v="128"/>
  </r>
  <r>
    <x v="2"/>
    <x v="5"/>
    <x v="1"/>
    <d v="2018-02-01T00:00:00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35.4153846153846"/>
    <n v="138.13333333333333"/>
    <n v="140.66666666666666"/>
    <n v="134.47999999999999"/>
    <n v="130.75"/>
  </r>
  <r>
    <x v="0"/>
    <x v="5"/>
    <x v="2"/>
    <d v="2018-03-01T00:00:00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  <n v="137.07692307692307"/>
    <n v="141.16666666666666"/>
    <n v="146.83333333333334"/>
    <n v="137.44999999999999"/>
    <n v="133"/>
  </r>
  <r>
    <x v="1"/>
    <x v="5"/>
    <x v="2"/>
    <d v="2018-03-01T00:00:00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31.96153846153845"/>
    <n v="137.86666666666667"/>
    <n v="132.86666666666665"/>
    <n v="130.95999999999998"/>
    <n v="128.6"/>
  </r>
  <r>
    <x v="2"/>
    <x v="5"/>
    <x v="2"/>
    <d v="2018-03-01T00:00:00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35.07692307692307"/>
    <n v="139.00000000000003"/>
    <n v="141.20000000000002"/>
    <n v="134.98000000000002"/>
    <n v="131.25"/>
  </r>
  <r>
    <x v="0"/>
    <x v="5"/>
    <x v="3"/>
    <d v="2018-04-01T00:00:00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  <n v="136.92307692307693"/>
    <n v="142.1"/>
    <n v="147.5"/>
    <n v="138.42500000000001"/>
    <n v="134"/>
  </r>
  <r>
    <x v="1"/>
    <x v="5"/>
    <x v="3"/>
    <d v="2018-04-01T00:00:00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32.30769230769232"/>
    <n v="138.33333333333331"/>
    <n v="133.80000000000001"/>
    <n v="131.58000000000001"/>
    <n v="129.44999999999999"/>
  </r>
  <r>
    <x v="2"/>
    <x v="5"/>
    <x v="3"/>
    <d v="2018-04-01T00:00:00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35.16153846153847"/>
    <n v="139.83333333333334"/>
    <n v="142"/>
    <n v="135.85999999999999"/>
    <n v="132.19999999999999"/>
  </r>
  <r>
    <x v="0"/>
    <x v="5"/>
    <x v="4"/>
    <d v="2018-05-01T00:00:00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  <n v="137.1076923076923"/>
    <n v="142.96666666666667"/>
    <n v="148.23333333333332"/>
    <n v="139.22499999999999"/>
    <n v="134.80000000000001"/>
  </r>
  <r>
    <x v="1"/>
    <x v="5"/>
    <x v="4"/>
    <d v="2018-05-01T00:00:00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32.53076923076921"/>
    <n v="139.06666666666669"/>
    <n v="134.5"/>
    <n v="132.11999999999998"/>
    <n v="130.05000000000001"/>
  </r>
  <r>
    <x v="2"/>
    <x v="5"/>
    <x v="4"/>
    <d v="2018-05-01T00:00:00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35.36923076923077"/>
    <n v="140.60000000000002"/>
    <n v="142.69999999999999"/>
    <n v="136.5"/>
    <n v="132.94999999999999"/>
  </r>
  <r>
    <x v="0"/>
    <x v="5"/>
    <x v="5"/>
    <d v="2018-06-01T00:00:00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  <n v="137.71538461538461"/>
    <n v="143.56666666666669"/>
    <n v="148.76666666666668"/>
    <n v="139.94999999999999"/>
    <n v="134.9"/>
  </r>
  <r>
    <x v="1"/>
    <x v="5"/>
    <x v="5"/>
    <d v="2018-06-01T00:00:00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34.40769230769232"/>
    <n v="139.66666666666666"/>
    <n v="135"/>
    <n v="132.74"/>
    <n v="130.39999999999998"/>
  </r>
  <r>
    <x v="2"/>
    <x v="5"/>
    <x v="5"/>
    <d v="2018-06-01T00:00:00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36.46923076923079"/>
    <n v="141.16666666666666"/>
    <n v="143.23333333333332"/>
    <n v="137"/>
    <n v="133.14999999999998"/>
  </r>
  <r>
    <x v="0"/>
    <x v="5"/>
    <x v="6"/>
    <d v="2018-07-01T00:00:00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  <n v="139.26923076923077"/>
    <n v="143.5"/>
    <n v="149.06666666666669"/>
    <n v="140.80000000000001"/>
    <n v="135.19999999999999"/>
  </r>
  <r>
    <x v="1"/>
    <x v="5"/>
    <x v="6"/>
    <d v="2018-07-01T00:00:00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36.23846153846154"/>
    <n v="140.19999999999999"/>
    <n v="135.46666666666667"/>
    <n v="133.88"/>
    <n v="130.89999999999998"/>
  </r>
  <r>
    <x v="2"/>
    <x v="5"/>
    <x v="6"/>
    <d v="2018-07-01T00:00:00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38.1"/>
    <n v="141.26666666666668"/>
    <n v="143.60000000000002"/>
    <n v="138.04000000000002"/>
    <n v="133.55000000000001"/>
  </r>
  <r>
    <x v="0"/>
    <x v="5"/>
    <x v="7"/>
    <d v="2018-08-01T00:00:00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  <n v="139.90769230769232"/>
    <n v="143.86666666666667"/>
    <n v="149.73333333333332"/>
    <n v="141.67500000000001"/>
    <n v="135.35000000000002"/>
  </r>
  <r>
    <x v="1"/>
    <x v="5"/>
    <x v="7"/>
    <d v="2018-08-01T00:00:00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35.96923076923076"/>
    <n v="140.96666666666667"/>
    <n v="135.76666666666668"/>
    <n v="134.95999999999998"/>
    <n v="131.60000000000002"/>
  </r>
  <r>
    <x v="2"/>
    <x v="5"/>
    <x v="7"/>
    <d v="2018-08-01T00:00:00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38.36153846153849"/>
    <n v="141.79999999999998"/>
    <n v="144.06666666666669"/>
    <n v="139.04"/>
    <n v="133.89999999999998"/>
  </r>
  <r>
    <x v="0"/>
    <x v="5"/>
    <x v="8"/>
    <d v="2018-09-01T00:00:00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  <n v="138.44615384615386"/>
    <n v="145.03333333333333"/>
    <n v="149.83333333333334"/>
    <n v="142.625"/>
    <n v="136"/>
  </r>
  <r>
    <x v="1"/>
    <x v="5"/>
    <x v="8"/>
    <d v="2018-09-01T00:00:00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34.49230769230769"/>
    <n v="141.79999999999998"/>
    <n v="136.4"/>
    <n v="135.82"/>
    <n v="132.5"/>
  </r>
  <r>
    <x v="2"/>
    <x v="5"/>
    <x v="8"/>
    <d v="2018-09-01T00:00:00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36.88461538461539"/>
    <n v="142.79999999999998"/>
    <n v="144.43333333333331"/>
    <n v="139.9"/>
    <n v="134.65"/>
  </r>
  <r>
    <x v="0"/>
    <x v="5"/>
    <x v="9"/>
    <d v="2018-10-01T00:00:00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  <n v="137.09230769230768"/>
    <n v="146.5"/>
    <n v="148.33333333333334"/>
    <n v="144"/>
    <n v="139.60000000000002"/>
  </r>
  <r>
    <x v="1"/>
    <x v="5"/>
    <x v="9"/>
    <d v="2018-10-01T00:00:00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34.93076923076922"/>
    <n v="142.4"/>
    <n v="137"/>
    <n v="136.72"/>
    <n v="133.30000000000001"/>
  </r>
  <r>
    <x v="2"/>
    <x v="5"/>
    <x v="9"/>
    <d v="2018-10-01T00:00:00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36.63076923076923"/>
    <n v="145.13333333333335"/>
    <n v="144.66666666666666"/>
    <n v="141.54000000000002"/>
    <n v="137.05000000000001"/>
  </r>
  <r>
    <x v="0"/>
    <x v="5"/>
    <x v="10"/>
    <d v="2018-11-01T00:00:0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  <n v="137.49999999999997"/>
    <n v="148.36666666666667"/>
    <n v="149.33333333333334"/>
    <n v="144.69999999999999"/>
    <n v="139.25"/>
  </r>
  <r>
    <x v="1"/>
    <x v="5"/>
    <x v="10"/>
    <d v="2018-11-01T00:00:0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35.19230769230768"/>
    <n v="142.63333333333335"/>
    <n v="137.70000000000002"/>
    <n v="137.34"/>
    <n v="133.65"/>
  </r>
  <r>
    <x v="2"/>
    <x v="5"/>
    <x v="10"/>
    <d v="2018-11-01T00:00:0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36.59230769230771"/>
    <n v="145.13333333333335"/>
    <n v="144.6"/>
    <n v="141.5"/>
    <n v="137.05000000000001"/>
  </r>
  <r>
    <x v="0"/>
    <x v="5"/>
    <x v="11"/>
    <d v="2018-12-01T00:00:00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  <n v="136.3923076923077"/>
    <n v="149.10000000000002"/>
    <n v="149.43333333333334"/>
    <n v="145.625"/>
    <n v="141.39999999999998"/>
  </r>
  <r>
    <x v="1"/>
    <x v="5"/>
    <x v="11"/>
    <d v="2018-12-01T00:00:00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34.35384615384615"/>
    <n v="142.66666666666666"/>
    <n v="137.93333333333334"/>
    <n v="136.07999999999998"/>
    <n v="134.05000000000001"/>
  </r>
  <r>
    <x v="2"/>
    <x v="5"/>
    <x v="11"/>
    <d v="2018-12-01T00:00:00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35.59999999999997"/>
    <n v="145.53333333333333"/>
    <n v="144.76666666666668"/>
    <n v="141.22"/>
    <n v="138.55000000000001"/>
  </r>
  <r>
    <x v="0"/>
    <x v="6"/>
    <x v="0"/>
    <d v="2019-01-01T00:00:0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  <n v="135.35384615384618"/>
    <n v="149.1"/>
    <n v="148.53333333333333"/>
    <n v="145.02499999999998"/>
    <n v="141.55000000000001"/>
  </r>
  <r>
    <x v="1"/>
    <x v="6"/>
    <x v="0"/>
    <d v="2019-01-01T00:00:0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34.17692307692309"/>
    <n v="142.80000000000001"/>
    <n v="138.16666666666666"/>
    <n v="135.56"/>
    <n v="134.75"/>
  </r>
  <r>
    <x v="2"/>
    <x v="6"/>
    <x v="0"/>
    <d v="2019-01-01T00:00:0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34.87692307692308"/>
    <n v="145.6"/>
    <n v="144.33333333333334"/>
    <n v="140.85999999999999"/>
    <n v="138.94999999999999"/>
  </r>
  <r>
    <x v="0"/>
    <x v="6"/>
    <x v="1"/>
    <d v="2019-02-01T00:00:00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  <n v="135.3692307692308"/>
    <n v="149.46666666666667"/>
    <n v="148.83333333333334"/>
    <n v="145.02499999999998"/>
    <n v="142.4"/>
  </r>
  <r>
    <x v="1"/>
    <x v="6"/>
    <x v="1"/>
    <d v="2019-02-01T00:00:00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34.95384615384617"/>
    <n v="143.16666666666666"/>
    <n v="138.5"/>
    <n v="135.60000000000002"/>
    <n v="135.75"/>
  </r>
  <r>
    <x v="2"/>
    <x v="6"/>
    <x v="1"/>
    <d v="2019-02-01T00:00:00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35.16153846153844"/>
    <n v="145.96666666666667"/>
    <n v="144.63333333333333"/>
    <n v="140.95999999999998"/>
    <n v="139.85"/>
  </r>
  <r>
    <x v="0"/>
    <x v="6"/>
    <x v="2"/>
    <d v="2019-03-01T00:00:00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  <n v="135.4769230769231"/>
    <n v="149.70000000000002"/>
    <n v="149"/>
    <n v="145.44999999999999"/>
    <n v="142.19999999999999"/>
  </r>
  <r>
    <x v="1"/>
    <x v="6"/>
    <x v="2"/>
    <d v="2019-03-01T00:00:00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36.03076923076924"/>
    <n v="143.70000000000002"/>
    <n v="138.76666666666665"/>
    <n v="136.24"/>
    <n v="135.85"/>
  </r>
  <r>
    <x v="2"/>
    <x v="6"/>
    <x v="2"/>
    <d v="2019-03-01T00:00:00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35.6076923076923"/>
    <n v="146.29999999999998"/>
    <n v="144.83333333333334"/>
    <n v="141.48000000000002"/>
    <n v="139.80000000000001"/>
  </r>
  <r>
    <x v="0"/>
    <x v="6"/>
    <x v="4"/>
    <d v="2019-05-01T00:00:00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  <n v="137.0846153846154"/>
    <n v="150.70000000000002"/>
    <n v="149.53333333333333"/>
    <n v="145.82499999999999"/>
    <n v="142.60000000000002"/>
  </r>
  <r>
    <x v="1"/>
    <x v="6"/>
    <x v="4"/>
    <d v="2019-05-01T00:00:00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39.34615384615387"/>
    <n v="144.5"/>
    <n v="139.29999999999998"/>
    <n v="136.95999999999998"/>
    <n v="136.19999999999999"/>
  </r>
  <r>
    <x v="2"/>
    <x v="6"/>
    <x v="4"/>
    <d v="2019-05-01T00:00:00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37.83846153846156"/>
    <n v="147.16666666666666"/>
    <n v="145.36666666666667"/>
    <n v="142.12"/>
    <n v="140.15"/>
  </r>
  <r>
    <x v="0"/>
    <x v="6"/>
    <x v="5"/>
    <d v="2019-06-01T00:00:00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  <n v="138.78461538461536"/>
    <n v="151.30000000000001"/>
    <n v="149.53333333333333"/>
    <n v="146.32499999999999"/>
    <n v="143.25"/>
  </r>
  <r>
    <x v="1"/>
    <x v="6"/>
    <x v="5"/>
    <d v="2019-06-01T00:00:00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41.0230769230769"/>
    <n v="144.86666666666667"/>
    <n v="139.46666666666667"/>
    <n v="137.16"/>
    <n v="137"/>
  </r>
  <r>
    <x v="2"/>
    <x v="6"/>
    <x v="5"/>
    <d v="2019-06-01T00:00:00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39.54615384615386"/>
    <n v="147.70000000000002"/>
    <n v="145.46666666666667"/>
    <n v="142.30000000000001"/>
    <n v="140.85000000000002"/>
  </r>
  <r>
    <x v="0"/>
    <x v="6"/>
    <x v="6"/>
    <d v="2019-07-01T00:00:00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  <n v="140.53076923076921"/>
    <n v="152.06666666666666"/>
    <n v="149.70000000000002"/>
    <n v="146.77500000000001"/>
    <n v="144.14999999999998"/>
  </r>
  <r>
    <x v="1"/>
    <x v="6"/>
    <x v="6"/>
    <d v="2019-07-01T00:00:00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42.87692307692308"/>
    <n v="145.56666666666666"/>
    <n v="139.76666666666668"/>
    <n v="137.26"/>
    <n v="137.94999999999999"/>
  </r>
  <r>
    <x v="2"/>
    <x v="6"/>
    <x v="6"/>
    <d v="2019-07-01T00:00:00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41.34615384615384"/>
    <n v="148.4"/>
    <n v="145.66666666666666"/>
    <n v="142.73999999999998"/>
    <n v="141.80000000000001"/>
  </r>
  <r>
    <x v="0"/>
    <x v="6"/>
    <x v="7"/>
    <d v="2019-08-01T00:00:00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  <n v="141.11538461538464"/>
    <n v="152.66666666666666"/>
    <n v="149.83333333333334"/>
    <n v="146.92500000000001"/>
    <n v="145.75"/>
  </r>
  <r>
    <x v="1"/>
    <x v="6"/>
    <x v="7"/>
    <d v="2019-08-01T00:00:00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43.77692307692308"/>
    <n v="146.20000000000002"/>
    <n v="140.06666666666666"/>
    <n v="137.5"/>
    <n v="139.65"/>
  </r>
  <r>
    <x v="2"/>
    <x v="6"/>
    <x v="7"/>
    <d v="2019-08-01T00:00:00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42.03846153846155"/>
    <n v="148.96666666666667"/>
    <n v="145.86666666666667"/>
    <n v="143.06"/>
    <n v="143.44999999999999"/>
  </r>
  <r>
    <x v="0"/>
    <x v="6"/>
    <x v="8"/>
    <d v="2019-09-01T00:00:00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  <n v="142.2076923076923"/>
    <n v="153.13333333333333"/>
    <n v="149.76666666666665"/>
    <n v="147.25"/>
    <n v="146.80000000000001"/>
  </r>
  <r>
    <x v="1"/>
    <x v="6"/>
    <x v="8"/>
    <d v="2019-09-01T00:00:00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44.22307692307692"/>
    <n v="146.73333333333332"/>
    <n v="140.26666666666668"/>
    <n v="137.97999999999999"/>
    <n v="140.44999999999999"/>
  </r>
  <r>
    <x v="2"/>
    <x v="6"/>
    <x v="8"/>
    <d v="2019-09-01T00:00:00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42.89999999999998"/>
    <n v="149.5"/>
    <n v="145.89999999999998"/>
    <n v="143.45999999999998"/>
    <n v="144.35"/>
  </r>
  <r>
    <x v="0"/>
    <x v="6"/>
    <x v="9"/>
    <d v="2019-10-01T00:00:00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44.37692307692305"/>
    <n v="153.56666666666666"/>
    <n v="149.79999999999998"/>
    <n v="147.67499999999998"/>
    <n v="147"/>
  </r>
  <r>
    <x v="1"/>
    <x v="6"/>
    <x v="9"/>
    <d v="2019-10-01T00:00:00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46.35384615384618"/>
    <n v="147.16666666666666"/>
    <n v="140.73333333333335"/>
    <n v="138.76"/>
    <n v="140.94999999999999"/>
  </r>
  <r>
    <x v="2"/>
    <x v="6"/>
    <x v="9"/>
    <d v="2019-10-01T00:00:00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45.04615384615383"/>
    <n v="149.93333333333331"/>
    <n v="146.13333333333335"/>
    <n v="144.06"/>
    <n v="144.69999999999999"/>
  </r>
  <r>
    <x v="0"/>
    <x v="6"/>
    <x v="10"/>
    <d v="2019-11-01T00:00:0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  <n v="146.50769230769231"/>
    <n v="154.13333333333333"/>
    <n v="150.26666666666668"/>
    <n v="148.05000000000001"/>
    <n v="147.44999999999999"/>
  </r>
  <r>
    <x v="1"/>
    <x v="6"/>
    <x v="10"/>
    <d v="2019-11-01T00:00:0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47.99999999999997"/>
    <n v="147.63333333333335"/>
    <n v="141.03333333333333"/>
    <n v="139.66"/>
    <n v="141.30000000000001"/>
  </r>
  <r>
    <x v="2"/>
    <x v="6"/>
    <x v="10"/>
    <d v="2019-11-01T00:00:0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46.99230769230769"/>
    <n v="150.43333333333334"/>
    <n v="146.5"/>
    <n v="144.64000000000001"/>
    <n v="145.10000000000002"/>
  </r>
  <r>
    <x v="0"/>
    <x v="6"/>
    <x v="11"/>
    <d v="2019-12-01T00:00:00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  <n v="149.30769230769226"/>
    <n v="154.79999999999998"/>
    <n v="150.6"/>
    <n v="149.30000000000001"/>
    <n v="147.69999999999999"/>
  </r>
  <r>
    <x v="1"/>
    <x v="6"/>
    <x v="11"/>
    <d v="2019-12-01T00:00:00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50.51538461538462"/>
    <n v="148.30000000000001"/>
    <n v="141.4"/>
    <n v="140.66"/>
    <n v="141.69999999999999"/>
  </r>
  <r>
    <x v="2"/>
    <x v="6"/>
    <x v="11"/>
    <d v="2019-12-01T00:00:00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49.70000000000002"/>
    <n v="151.1"/>
    <n v="146.86666666666667"/>
    <n v="145.56"/>
    <n v="145.4"/>
  </r>
  <r>
    <x v="0"/>
    <x v="7"/>
    <x v="0"/>
    <d v="2020-01-01T00:00:0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  <n v="149.12307692307692"/>
    <n v="155.6"/>
    <n v="150.76666666666668"/>
    <n v="150.02500000000001"/>
    <n v="149.1"/>
  </r>
  <r>
    <x v="1"/>
    <x v="7"/>
    <x v="0"/>
    <d v="2020-01-01T00:00:0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49.64615384615382"/>
    <n v="148.79999999999998"/>
    <n v="141.70000000000002"/>
    <n v="141.46"/>
    <n v="142.94999999999999"/>
  </r>
  <r>
    <x v="2"/>
    <x v="7"/>
    <x v="0"/>
    <d v="2020-01-01T00:00:0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49.26153846153846"/>
    <n v="151.79999999999998"/>
    <n v="147.06666666666666"/>
    <n v="146.34"/>
    <n v="146.75"/>
  </r>
  <r>
    <x v="0"/>
    <x v="7"/>
    <x v="1"/>
    <d v="2020-02-01T00:00:00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  <n v="146.90769230769229"/>
    <n v="156.06666666666669"/>
    <n v="150.93333333333334"/>
    <n v="150.5"/>
    <n v="149.80000000000001"/>
  </r>
  <r>
    <x v="1"/>
    <x v="7"/>
    <x v="1"/>
    <d v="2020-02-01T00:00:00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47.43076923076922"/>
    <n v="149.36666666666667"/>
    <n v="142"/>
    <n v="142.30000000000001"/>
    <n v="143.94999999999999"/>
  </r>
  <r>
    <x v="2"/>
    <x v="7"/>
    <x v="1"/>
    <d v="2020-02-01T00:00:00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47.04615384615383"/>
    <n v="152.29999999999998"/>
    <n v="147.33333333333334"/>
    <n v="146.98000000000002"/>
    <n v="147.55000000000001"/>
  </r>
  <r>
    <x v="0"/>
    <x v="7"/>
    <x v="2"/>
    <d v="2020-03-01T00:00:00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  <n v="145.73846153846151"/>
    <n v="156.76666666666665"/>
    <n v="151.16666666666666"/>
    <n v="150.47499999999999"/>
    <n v="150.89999999999998"/>
  </r>
  <r>
    <x v="1"/>
    <x v="7"/>
    <x v="2"/>
    <d v="2020-03-01T00:00:00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46.03846153846155"/>
    <n v="149.96666666666667"/>
    <n v="142.36666666666667"/>
    <n v="142.76"/>
    <n v="145.15"/>
  </r>
  <r>
    <x v="2"/>
    <x v="7"/>
    <x v="2"/>
    <d v="2020-03-01T00:00:00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45.80000000000001"/>
    <n v="152.9"/>
    <n v="147.63333333333335"/>
    <n v="147.16"/>
    <n v="148.75"/>
  </r>
  <r>
    <x v="0"/>
    <x v="7"/>
    <x v="3"/>
    <d v="2020-04-01T00:00:00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  <n v="146.80000000000001"/>
    <s v="NA"/>
    <s v="NA"/>
    <n v="148.4"/>
    <n v="154.30000000000001"/>
  </r>
  <r>
    <x v="1"/>
    <x v="7"/>
    <x v="3"/>
    <d v="2020-04-01T00:00:00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  <n v="148.79090909090908"/>
    <s v="NA"/>
    <s v="NA"/>
    <n v="146.35"/>
    <n v="144.80000000000001"/>
  </r>
  <r>
    <x v="2"/>
    <x v="7"/>
    <x v="3"/>
    <d v="2020-04-01T00:00:00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  <n v="147.51818181818183"/>
    <s v="NA"/>
    <s v="NA"/>
    <n v="149.85"/>
    <n v="150.69999999999999"/>
  </r>
  <r>
    <x v="0"/>
    <x v="7"/>
    <x v="4"/>
    <d v="2020-05-01T00:00: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"/>
    <x v="7"/>
    <x v="4"/>
    <d v="2020-05-01T00:00: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2"/>
    <x v="7"/>
    <x v="4"/>
    <d v="2020-05-01T00:00: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0"/>
    <x v="7"/>
    <x v="5"/>
    <d v="2020-06-01T00:00:00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62.43333333333334"/>
    <n v="152.93333333333331"/>
    <n v="149.94999999999999"/>
    <n v="154.69999999999999"/>
  </r>
  <r>
    <x v="1"/>
    <x v="7"/>
    <x v="5"/>
    <d v="2020-06-01T00:00:00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57.73333333333332"/>
    <n v="144.29999999999998"/>
    <n v="142.80000000000001"/>
    <n v="150.14999999999998"/>
  </r>
  <r>
    <x v="2"/>
    <x v="7"/>
    <x v="5"/>
    <d v="2020-06-01T00:00:00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59.6"/>
    <n v="149.43333333333331"/>
    <n v="146.88"/>
    <n v="153"/>
  </r>
  <r>
    <x v="0"/>
    <x v="7"/>
    <x v="6"/>
    <d v="2020-07-01T00:00:00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62.43333333333334"/>
    <n v="152.93333333333331"/>
    <n v="149.94999999999999"/>
    <n v="154.69999999999999"/>
  </r>
  <r>
    <x v="1"/>
    <x v="7"/>
    <x v="6"/>
    <d v="2020-07-01T00:00:00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57.73333333333332"/>
    <n v="144.29999999999998"/>
    <n v="142.80000000000001"/>
    <n v="150.14999999999998"/>
  </r>
  <r>
    <x v="2"/>
    <x v="7"/>
    <x v="6"/>
    <d v="2020-07-01T00:00:00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59.6"/>
    <n v="149.43333333333331"/>
    <n v="146.88"/>
    <n v="153"/>
  </r>
  <r>
    <x v="0"/>
    <x v="7"/>
    <x v="7"/>
    <d v="2020-08-01T00:00:00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  <n v="152.19999999999999"/>
    <n v="162.03333333333333"/>
    <n v="152.9"/>
    <n v="151"/>
    <n v="156.19999999999999"/>
  </r>
  <r>
    <x v="1"/>
    <x v="7"/>
    <x v="7"/>
    <d v="2020-08-01T00:00:00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155.76153846153846"/>
    <n v="157.73333333333332"/>
    <n v="144.33333333333334"/>
    <n v="145.54000000000002"/>
    <n v="151.94999999999999"/>
  </r>
  <r>
    <x v="2"/>
    <x v="7"/>
    <x v="7"/>
    <d v="2020-08-01T00:00:00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53.47692307692307"/>
    <n v="159.20000000000002"/>
    <n v="149.4"/>
    <n v="148.78"/>
    <n v="154.65"/>
  </r>
  <r>
    <x v="0"/>
    <x v="7"/>
    <x v="8"/>
    <d v="2020-09-01T00:00:00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  <n v="152.87692307692308"/>
    <n v="163.13333333333335"/>
    <n v="153.29999999999998"/>
    <n v="150.92500000000001"/>
    <n v="158.25"/>
  </r>
  <r>
    <x v="1"/>
    <x v="7"/>
    <x v="8"/>
    <d v="2020-09-01T00:00:00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157.04615384615386"/>
    <n v="158.83333333333334"/>
    <n v="144.86666666666667"/>
    <n v="145.78"/>
    <n v="154.9"/>
  </r>
  <r>
    <x v="2"/>
    <x v="7"/>
    <x v="8"/>
    <d v="2020-09-01T00:00:00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154.38461538461539"/>
    <n v="160.33333333333334"/>
    <n v="149.9"/>
    <n v="149"/>
    <n v="157"/>
  </r>
  <r>
    <x v="0"/>
    <x v="7"/>
    <x v="9"/>
    <d v="2020-10-01T00:00:00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  <n v="156.22307692307692"/>
    <n v="163.13333333333335"/>
    <n v="153.76666666666665"/>
    <n v="151.92500000000001"/>
    <n v="157.85"/>
  </r>
  <r>
    <x v="1"/>
    <x v="7"/>
    <x v="9"/>
    <d v="2020-10-01T00:00:00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160.01538461538459"/>
    <n v="158.96666666666667"/>
    <n v="144.96666666666667"/>
    <n v="145.95999999999998"/>
    <n v="154.55000000000001"/>
  </r>
  <r>
    <x v="2"/>
    <x v="7"/>
    <x v="9"/>
    <d v="2020-10-01T00:00:00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157.5846153846154"/>
    <n v="160.4"/>
    <n v="150.19999999999999"/>
    <n v="149.47999999999999"/>
    <n v="156.65"/>
  </r>
  <r>
    <x v="0"/>
    <x v="7"/>
    <x v="10"/>
    <d v="2020-11-01T00:00:0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  <n v="160.1846153846154"/>
    <n v="163.83333333333334"/>
    <n v="154.26666666666668"/>
    <n v="152"/>
    <n v="158.30000000000001"/>
  </r>
  <r>
    <x v="1"/>
    <x v="7"/>
    <x v="10"/>
    <d v="2020-11-01T00:00:0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163.1307692307692"/>
    <n v="159.93333333333337"/>
    <n v="145.43333333333334"/>
    <n v="146.39999999999998"/>
    <n v="154.94999999999999"/>
  </r>
  <r>
    <x v="2"/>
    <x v="7"/>
    <x v="10"/>
    <d v="2020-11-01T00:00:0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161.19999999999999"/>
    <n v="161.30000000000001"/>
    <n v="150.66666666666669"/>
    <n v="149.96"/>
    <n v="157.05000000000001"/>
  </r>
  <r>
    <x v="0"/>
    <x v="7"/>
    <x v="11"/>
    <d v="2020-12-01T00:00:00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  <n v="161.57692307692307"/>
    <n v="164.23333333333332"/>
    <n v="154.96666666666667"/>
    <n v="152.85"/>
    <n v="159.1"/>
  </r>
  <r>
    <x v="1"/>
    <x v="7"/>
    <x v="11"/>
    <d v="2020-12-01T00:00:00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163.49230769230769"/>
    <n v="160.46666666666667"/>
    <n v="146.06666666666669"/>
    <n v="146.83999999999997"/>
    <n v="155.4"/>
  </r>
  <r>
    <x v="2"/>
    <x v="7"/>
    <x v="11"/>
    <d v="2020-12-01T00:00:00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162.23846153846154"/>
    <n v="161.69999999999999"/>
    <n v="151.33333333333334"/>
    <n v="150.56"/>
    <n v="157.69999999999999"/>
  </r>
  <r>
    <x v="0"/>
    <x v="8"/>
    <x v="0"/>
    <d v="2021-01-01T00:00:0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  <n v="158.89999999999998"/>
    <n v="165.20000000000002"/>
    <n v="155.56666666666666"/>
    <n v="153.94999999999999"/>
    <n v="159.35"/>
  </r>
  <r>
    <x v="1"/>
    <x v="8"/>
    <x v="0"/>
    <d v="2021-01-01T00:00:0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161.30769230769232"/>
    <n v="161.60000000000002"/>
    <n v="146.66666666666666"/>
    <n v="147.86000000000001"/>
    <n v="155.89999999999998"/>
  </r>
  <r>
    <x v="2"/>
    <x v="8"/>
    <x v="0"/>
    <d v="2021-01-01T00:00:0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159.73076923076923"/>
    <n v="162.66666666666666"/>
    <n v="151.93333333333334"/>
    <n v="151.34"/>
    <n v="158.05000000000001"/>
  </r>
  <r>
    <x v="0"/>
    <x v="8"/>
    <x v="1"/>
    <d v="2021-02-01T00:00:00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  <n v="155.7923076923077"/>
    <n v="166.9"/>
    <n v="157.13333333333333"/>
    <n v="155.75"/>
    <n v="159.75"/>
  </r>
  <r>
    <x v="1"/>
    <x v="8"/>
    <x v="1"/>
    <d v="2021-02-01T00:00:00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158.92307692307693"/>
    <n v="163.30000000000001"/>
    <n v="148.06666666666666"/>
    <n v="150.5"/>
    <n v="156.5"/>
  </r>
  <r>
    <x v="2"/>
    <x v="8"/>
    <x v="1"/>
    <d v="2021-02-01T00:00:00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156.8692307692308"/>
    <n v="164.4"/>
    <n v="153.46666666666667"/>
    <n v="153.54000000000002"/>
    <n v="158.55000000000001"/>
  </r>
  <r>
    <x v="0"/>
    <x v="8"/>
    <x v="2"/>
    <d v="2021-03-01T00:00:00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155.82307692307694"/>
    <n v="167.06666666666666"/>
    <n v="157.63333333333333"/>
    <n v="156.47500000000002"/>
    <n v="158.85"/>
  </r>
  <r>
    <x v="1"/>
    <x v="8"/>
    <x v="2"/>
    <d v="2021-03-01T00:00:00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158.80769230769226"/>
    <n v="164.03333333333333"/>
    <n v="148.79999999999998"/>
    <n v="152.24"/>
    <n v="155.9"/>
  </r>
  <r>
    <x v="2"/>
    <x v="8"/>
    <x v="2"/>
    <d v="2021-03-01T00:00:00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156.87692307692308"/>
    <n v="164.83333333333334"/>
    <n v="154.03333333333333"/>
    <n v="154.6"/>
    <n v="157.75"/>
  </r>
  <r>
    <x v="0"/>
    <x v="8"/>
    <x v="3"/>
    <d v="2021-04-01T00:00:00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157.65384615384616"/>
    <n v="167.79999999999998"/>
    <n v="158.56666666666663"/>
    <n v="156.82499999999999"/>
    <n v="159.94999999999999"/>
  </r>
  <r>
    <x v="1"/>
    <x v="8"/>
    <x v="3"/>
    <d v="2021-04-01T00:00:00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160.73846153846154"/>
    <n v="164.66666666666666"/>
    <n v="149.53333333333333"/>
    <n v="152.72"/>
    <n v="157.05000000000001"/>
  </r>
  <r>
    <x v="2"/>
    <x v="8"/>
    <x v="3"/>
    <d v="2021-04-01T00:00:00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158.77692307692308"/>
    <n v="165.46666666666667"/>
    <n v="154.86666666666667"/>
    <n v="155.14000000000001"/>
    <n v="158.85000000000002"/>
  </r>
  <r>
    <x v="0"/>
    <x v="8"/>
    <x v="4"/>
    <d v="2021-05-01T00:00:00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  <n v="161.17692307692306"/>
    <n v="170.23333333333335"/>
    <n v="163.46666666666667"/>
    <n v="160.32499999999999"/>
    <n v="164.2"/>
  </r>
  <r>
    <x v="1"/>
    <x v="8"/>
    <x v="4"/>
    <d v="2021-05-01T00:00:00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163.43846153846155"/>
    <n v="167.7"/>
    <n v="150.26666666666665"/>
    <n v="153.76000000000002"/>
    <n v="158.94999999999999"/>
  </r>
  <r>
    <x v="2"/>
    <x v="8"/>
    <x v="4"/>
    <d v="2021-05-01T00:00:00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161.9769230769231"/>
    <n v="168.16666666666669"/>
    <n v="158.1"/>
    <n v="157.16"/>
    <n v="162.19999999999999"/>
  </r>
  <r>
    <x v="0"/>
    <x v="8"/>
    <x v="5"/>
    <d v="2021-06-01T00:00:00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  <n v="163.27692307692308"/>
    <n v="170.33333333333334"/>
    <n v="163.26666666666668"/>
    <n v="160.57499999999999"/>
    <n v="164.55"/>
  </r>
  <r>
    <x v="1"/>
    <x v="8"/>
    <x v="5"/>
    <d v="2021-06-01T00:00:00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165.7076923076923"/>
    <n v="166.56666666666663"/>
    <n v="150.86666666666667"/>
    <n v="154.40000000000003"/>
    <n v="159.4"/>
  </r>
  <r>
    <x v="2"/>
    <x v="8"/>
    <x v="5"/>
    <d v="2021-06-01T00:00:00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164.14615384615385"/>
    <n v="167.76666666666668"/>
    <n v="158.23333333333332"/>
    <n v="157.5"/>
    <n v="162.55000000000001"/>
  </r>
  <r>
    <x v="0"/>
    <x v="8"/>
    <x v="6"/>
    <d v="2021-07-01T00:00:00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  <n v="164.03076923076924"/>
    <n v="171.06666666666669"/>
    <n v="164.13333333333335"/>
    <n v="161.77499999999998"/>
    <n v="165.4"/>
  </r>
  <r>
    <x v="1"/>
    <x v="8"/>
    <x v="6"/>
    <d v="2021-07-01T00:00:00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167.06153846153848"/>
    <n v="167.23333333333332"/>
    <n v="151.76666666666668"/>
    <n v="155.94"/>
    <n v="160.55000000000001"/>
  </r>
  <r>
    <x v="2"/>
    <x v="8"/>
    <x v="6"/>
    <d v="2021-07-01T00:00:00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165.15384615384616"/>
    <n v="168.5"/>
    <n v="159.1"/>
    <n v="158.85999999999999"/>
    <n v="163.55000000000001"/>
  </r>
  <r>
    <x v="0"/>
    <x v="8"/>
    <x v="7"/>
    <d v="2021-08-01T00:00:00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  <n v="163.90769230769232"/>
    <n v="171.5333333333333"/>
    <n v="165.3"/>
    <n v="162.30000000000001"/>
    <n v="165.7"/>
  </r>
  <r>
    <x v="1"/>
    <x v="8"/>
    <x v="7"/>
    <d v="2021-08-01T00:00:00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165.99230769230769"/>
    <n v="168.73333333333332"/>
    <n v="153.56666666666666"/>
    <n v="157.35999999999999"/>
    <n v="161.19999999999999"/>
  </r>
  <r>
    <x v="2"/>
    <x v="8"/>
    <x v="7"/>
    <d v="2021-08-01T00:00:00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164.76923076923077"/>
    <n v="169.9"/>
    <n v="161"/>
    <n v="160"/>
    <n v="164.2"/>
  </r>
  <r>
    <x v="0"/>
    <x v="8"/>
    <x v="8"/>
    <d v="2021-09-01T00:00:00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  <n v="164.12307692307692"/>
    <n v="172.33333333333334"/>
    <n v="166.13333333333333"/>
    <n v="162.82499999999999"/>
    <n v="166.05"/>
  </r>
  <r>
    <x v="1"/>
    <x v="8"/>
    <x v="8"/>
    <d v="2021-09-01T00:00:00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165.99230769230769"/>
    <n v="168.79999999999998"/>
    <n v="153.6"/>
    <n v="157.4"/>
    <n v="161.19999999999999"/>
  </r>
  <r>
    <x v="2"/>
    <x v="8"/>
    <x v="8"/>
    <d v="2021-09-01T00:00:00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164.76923076923077"/>
    <n v="169.93333333333331"/>
    <n v="161.06666666666666"/>
    <n v="159.98000000000002"/>
    <n v="164.2"/>
  </r>
  <r>
    <x v="0"/>
    <x v="8"/>
    <x v="9"/>
    <d v="2021-10-01T00:00:00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  <n v="166.47692307692307"/>
    <n v="173.0333333333333"/>
    <n v="167.33333333333334"/>
    <n v="164"/>
    <n v="166.8"/>
  </r>
  <r>
    <x v="1"/>
    <x v="8"/>
    <x v="9"/>
    <d v="2021-10-01T00:00:00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169.10769230769236"/>
    <n v="169.70000000000002"/>
    <n v="154.50000000000003"/>
    <n v="158.51999999999998"/>
    <n v="161.9"/>
  </r>
  <r>
    <x v="2"/>
    <x v="8"/>
    <x v="9"/>
    <d v="2021-10-01T00:00:00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167.34615384615384"/>
    <n v="170.76666666666665"/>
    <n v="162.1"/>
    <n v="161.15999999999997"/>
    <n v="164.95"/>
  </r>
  <r>
    <x v="0"/>
    <x v="8"/>
    <x v="10"/>
    <d v="2021-11-01T00:00:0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  <n v="167.84615384615384"/>
    <n v="173.4666666666667"/>
    <n v="168.73333333333332"/>
    <n v="164.10000000000002"/>
    <n v="167.9"/>
  </r>
  <r>
    <x v="1"/>
    <x v="8"/>
    <x v="10"/>
    <d v="2021-11-01T00:00:0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170.60769230769228"/>
    <n v="170.33333333333334"/>
    <n v="155.76666666666668"/>
    <n v="158.6"/>
    <n v="163"/>
  </r>
  <r>
    <x v="2"/>
    <x v="8"/>
    <x v="10"/>
    <d v="2021-11-01T00:00:0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168.77692307692308"/>
    <n v="171.36666666666667"/>
    <n v="163.46666666666667"/>
    <n v="161.30000000000001"/>
    <n v="166.05"/>
  </r>
  <r>
    <x v="0"/>
    <x v="8"/>
    <x v="11"/>
    <d v="2021-12-01T00:00:00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  <n v="166.78461538461536"/>
    <n v="173.76666666666665"/>
    <n v="170.1"/>
    <n v="164.82499999999999"/>
    <n v="168.4"/>
  </r>
  <r>
    <x v="1"/>
    <x v="8"/>
    <x v="11"/>
    <d v="2021-12-01T00:00:00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169.71538461538464"/>
    <n v="170.73333333333335"/>
    <n v="156.9"/>
    <n v="158.70000000000002"/>
    <n v="163.75"/>
  </r>
  <r>
    <x v="2"/>
    <x v="8"/>
    <x v="11"/>
    <d v="2021-12-01T00:00:00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167.76153846153846"/>
    <n v="171.66666666666666"/>
    <n v="164.73333333333332"/>
    <n v="161.56"/>
    <n v="166.6"/>
  </r>
  <r>
    <x v="0"/>
    <x v="9"/>
    <x v="0"/>
    <d v="2022-01-01T00:00:0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  <n v="165.61538461538461"/>
    <n v="174.06666666666669"/>
    <n v="171.73333333333335"/>
    <n v="165.35000000000002"/>
    <n v="168.95"/>
  </r>
  <r>
    <x v="1"/>
    <x v="9"/>
    <x v="0"/>
    <d v="2022-01-01T00:00:0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168.2076923076923"/>
    <n v="171.13333333333333"/>
    <n v="158.46666666666667"/>
    <n v="159.32"/>
    <n v="164.45"/>
  </r>
  <r>
    <x v="2"/>
    <x v="9"/>
    <x v="0"/>
    <d v="2022-01-01T00:00:0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166.47692307692307"/>
    <n v="172.0333333333333"/>
    <n v="166.36666666666667"/>
    <n v="162.19999999999999"/>
    <n v="167.2"/>
  </r>
  <r>
    <x v="0"/>
    <x v="9"/>
    <x v="1"/>
    <d v="2022-02-01T00:00:00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  <n v="165.41538461538462"/>
    <n v="174.76666666666665"/>
    <n v="172.93333333333331"/>
    <n v="166.15"/>
    <n v="169.9"/>
  </r>
  <r>
    <x v="1"/>
    <x v="9"/>
    <x v="1"/>
    <d v="2022-02-01T00:00:00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167.96153846153845"/>
    <n v="171.79999999999998"/>
    <n v="159.83333333333334"/>
    <n v="160.19999999999999"/>
    <n v="165.7"/>
  </r>
  <r>
    <x v="2"/>
    <x v="9"/>
    <x v="1"/>
    <d v="2022-02-01T00:00:00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166.24615384615387"/>
    <n v="172.79999999999998"/>
    <n v="167.60000000000002"/>
    <n v="163.06"/>
    <n v="168.3"/>
  </r>
  <r>
    <x v="0"/>
    <x v="9"/>
    <x v="2"/>
    <d v="2022-03-01T00:00:00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  <n v="167.62307692307695"/>
    <n v="175.73333333333335"/>
    <n v="174.56666666666669"/>
    <n v="167"/>
    <n v="171.7"/>
  </r>
  <r>
    <x v="1"/>
    <x v="9"/>
    <x v="2"/>
    <d v="2022-03-01T00:00:00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168.94615384615386"/>
    <n v="172.96666666666667"/>
    <n v="161.53333333333333"/>
    <n v="161.06"/>
    <n v="167.5"/>
  </r>
  <r>
    <x v="2"/>
    <x v="9"/>
    <x v="2"/>
    <d v="2022-03-01T00:00:00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168.01538461538465"/>
    <n v="173.86666666666667"/>
    <n v="169.26666666666665"/>
    <n v="163.84"/>
    <n v="170.1"/>
  </r>
  <r>
    <x v="0"/>
    <x v="9"/>
    <x v="3"/>
    <d v="2022-04-01T00:00:00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  <n v="169.73846153846154"/>
    <n v="176.73333333333335"/>
    <n v="176.56666666666669"/>
    <n v="169.52500000000001"/>
    <n v="173"/>
  </r>
  <r>
    <x v="1"/>
    <x v="9"/>
    <x v="3"/>
    <d v="2022-04-01T00:00:00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171.56923076923078"/>
    <n v="174.13333333333333"/>
    <n v="163.06666666666666"/>
    <n v="164.12"/>
    <n v="168.7"/>
  </r>
  <r>
    <x v="2"/>
    <x v="9"/>
    <x v="3"/>
    <d v="2022-04-01T00:00:00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170.33076923076925"/>
    <n v="175.03333333333333"/>
    <n v="171.06666666666669"/>
    <n v="166.54"/>
    <n v="171.4"/>
  </r>
  <r>
    <x v="0"/>
    <x v="9"/>
    <x v="4"/>
    <d v="2022-05-01T00:00:00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  <n v="171.2923076923077"/>
    <n v="177.13333333333333"/>
    <n v="178.5"/>
    <n v="170.77500000000003"/>
    <n v="173.1"/>
  </r>
  <r>
    <x v="1"/>
    <x v="9"/>
    <x v="4"/>
    <d v="2022-05-01T00:00:00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174.01538461538465"/>
    <n v="174.83333333333334"/>
    <n v="164.56666666666666"/>
    <n v="165.34"/>
    <n v="169.14999999999998"/>
  </r>
  <r>
    <x v="2"/>
    <x v="9"/>
    <x v="4"/>
    <d v="2022-05-01T00:00:00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172.22307692307697"/>
    <n v="175.56666666666669"/>
    <n v="172.86666666666667"/>
    <n v="167.64"/>
    <n v="171.60000000000002"/>
  </r>
  <r>
    <x v="0"/>
    <x v="9"/>
    <x v="5"/>
    <d v="2022-06-01T00:00:00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  <n v="172.94615384615386"/>
    <n v="177.29999999999998"/>
    <n v="179.93333333333331"/>
    <n v="171.27500000000001"/>
    <n v="173.85"/>
  </r>
  <r>
    <x v="1"/>
    <x v="9"/>
    <x v="5"/>
    <d v="2022-06-01T00:00:00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175.96153846153845"/>
    <n v="175.4"/>
    <n v="166.13333333333333"/>
    <n v="165.5"/>
    <n v="170.05"/>
  </r>
  <r>
    <x v="2"/>
    <x v="9"/>
    <x v="5"/>
    <d v="2022-06-01T00:00:00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173.99230769230769"/>
    <n v="175.86666666666667"/>
    <n v="174.33333333333334"/>
    <n v="167.86"/>
    <n v="172.4"/>
  </r>
  <r>
    <x v="0"/>
    <x v="9"/>
    <x v="6"/>
    <d v="2022-07-01T00:00:00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  <n v="173.26923076923077"/>
    <n v="177.86666666666665"/>
    <n v="181.33333333333334"/>
    <n v="172.97500000000002"/>
    <n v="174.25"/>
  </r>
  <r>
    <x v="1"/>
    <x v="9"/>
    <x v="6"/>
    <d v="2022-07-01T00:00:00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176.27692307692308"/>
    <n v="175.96666666666667"/>
    <n v="167.33333333333334"/>
    <n v="167.38"/>
    <n v="170.75"/>
  </r>
  <r>
    <x v="2"/>
    <x v="9"/>
    <x v="6"/>
    <d v="2022-07-01T00:00:00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174.33076923076925"/>
    <n v="176.43333333333331"/>
    <n v="175.63333333333335"/>
    <n v="169.56"/>
    <n v="172.89999999999998"/>
  </r>
  <r>
    <x v="0"/>
    <x v="9"/>
    <x v="7"/>
    <d v="2022-08-01T00:00:00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  <n v="173.5230769230769"/>
    <n v="178.53333333333333"/>
    <n v="182.63333333333333"/>
    <n v="173.42500000000001"/>
    <n v="175.25"/>
  </r>
  <r>
    <x v="1"/>
    <x v="9"/>
    <x v="7"/>
    <d v="2022-08-01T00:00:00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176.43846153846152"/>
    <n v="176.39999999999998"/>
    <n v="168.43333333333331"/>
    <n v="167.83999999999997"/>
    <n v="172"/>
  </r>
  <r>
    <x v="2"/>
    <x v="9"/>
    <x v="7"/>
    <d v="2022-08-01T00:00:00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174.55384615384617"/>
    <n v="177"/>
    <n v="176.9"/>
    <n v="170.1"/>
    <n v="174"/>
  </r>
  <r>
    <x v="0"/>
    <x v="9"/>
    <x v="8"/>
    <d v="2022-09-01T00:00:00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  <n v="174.44615384615386"/>
    <n v="179.20000000000002"/>
    <n v="184.16666666666666"/>
    <n v="174.09999999999997"/>
    <n v="175.5"/>
  </r>
  <r>
    <x v="1"/>
    <x v="9"/>
    <x v="8"/>
    <d v="2022-09-01T00:00:00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177.41538461538462"/>
    <n v="177.20000000000002"/>
    <n v="169.9"/>
    <n v="168.56"/>
    <n v="172.45"/>
  </r>
  <r>
    <x v="2"/>
    <x v="9"/>
    <x v="8"/>
    <d v="2022-09-01T00:00:00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175.45384615384617"/>
    <n v="177.73333333333335"/>
    <n v="178.36666666666667"/>
    <n v="170.78"/>
    <n v="174.35000000000002"/>
  </r>
  <r>
    <x v="0"/>
    <x v="9"/>
    <x v="9"/>
    <d v="2022-10-01T00:00:00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  <n v="175.73076923076923"/>
    <n v="179.79999999999998"/>
    <n v="185.46666666666667"/>
    <n v="174.77500000000001"/>
    <n v="176.6"/>
  </r>
  <r>
    <x v="1"/>
    <x v="9"/>
    <x v="9"/>
    <d v="2022-10-01T00:00:00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178.63846153846154"/>
    <n v="177.73333333333335"/>
    <n v="170.56666666666669"/>
    <n v="169.44"/>
    <n v="173.5"/>
  </r>
  <r>
    <x v="2"/>
    <x v="9"/>
    <x v="9"/>
    <d v="2022-10-01T00:00:00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176.71538461538464"/>
    <n v="178.33333333333334"/>
    <n v="179.4"/>
    <n v="171.68"/>
    <n v="175.39999999999998"/>
  </r>
  <r>
    <x v="0"/>
    <x v="9"/>
    <x v="10"/>
    <d v="2022-11-01T00:00:0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  <n v="175.97692307692307"/>
    <n v="180.29999999999998"/>
    <n v="186.43333333333331"/>
    <n v="175.45"/>
    <n v="177.85000000000002"/>
  </r>
  <r>
    <x v="1"/>
    <x v="9"/>
    <x v="10"/>
    <d v="2022-11-01T00:00:0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178.03076923076924"/>
    <n v="178.23333333333332"/>
    <n v="171.63333333333333"/>
    <n v="169.88"/>
    <n v="174.8"/>
  </r>
  <r>
    <x v="2"/>
    <x v="9"/>
    <x v="10"/>
    <d v="2022-11-01T00:00:0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176.67692307692309"/>
    <n v="178.83333333333334"/>
    <n v="180.46666666666667"/>
    <n v="172.24"/>
    <n v="176.7"/>
  </r>
  <r>
    <x v="0"/>
    <x v="9"/>
    <x v="11"/>
    <d v="2022-12-01T00:00:00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  <n v="175.16153846153844"/>
    <n v="180.86666666666667"/>
    <n v="187.26666666666665"/>
    <n v="176.07499999999999"/>
    <n v="179.6"/>
  </r>
  <r>
    <x v="1"/>
    <x v="9"/>
    <x v="11"/>
    <d v="2022-12-01T00:00:00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176.59999999999997"/>
    <n v="178.79999999999998"/>
    <n v="172.63333333333333"/>
    <n v="169.95999999999998"/>
    <n v="176.6"/>
  </r>
  <r>
    <x v="2"/>
    <x v="9"/>
    <x v="11"/>
    <d v="2022-12-01T00:00:00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175.64615384615385"/>
    <n v="179.4"/>
    <n v="181.33333333333334"/>
    <n v="172.45999999999998"/>
    <n v="178.45"/>
  </r>
  <r>
    <x v="0"/>
    <x v="10"/>
    <x v="0"/>
    <d v="2023-01-01T00:00:0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  <n v="175.63076923076926"/>
    <n v="181.73333333333335"/>
    <n v="187.96666666666667"/>
    <n v="176.59999999999997"/>
    <n v="181.55"/>
  </r>
  <r>
    <x v="1"/>
    <x v="10"/>
    <x v="0"/>
    <d v="2023-01-01T00:00:0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177.70769230769233"/>
    <n v="179.43333333333331"/>
    <n v="173.53333333333333"/>
    <n v="170.3"/>
    <n v="178.65"/>
  </r>
  <r>
    <x v="2"/>
    <x v="10"/>
    <x v="0"/>
    <d v="2023-01-01T00:00:0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176.36153846153846"/>
    <n v="180.16666666666666"/>
    <n v="182.1"/>
    <n v="172.98000000000002"/>
    <n v="180.45"/>
  </r>
  <r>
    <x v="0"/>
    <x v="10"/>
    <x v="1"/>
    <d v="2023-02-01T00:00:00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  <n v="174.28461538461536"/>
    <n v="183"/>
    <n v="188.86666666666667"/>
    <n v="176.92500000000001"/>
    <n v="183.64999999999998"/>
  </r>
  <r>
    <x v="1"/>
    <x v="10"/>
    <x v="1"/>
    <d v="2023-02-01T00:00:00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177.16923076923075"/>
    <n v="180.36666666666667"/>
    <n v="175.16666666666666"/>
    <n v="171.56"/>
    <n v="181.10000000000002"/>
  </r>
  <r>
    <x v="2"/>
    <x v="10"/>
    <x v="1"/>
    <d v="2023-02-01T00:00:00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175.3153846153846"/>
    <n v="181.29999999999998"/>
    <n v="183.33333333333334"/>
    <n v="173.8"/>
    <n v="182.7"/>
  </r>
  <r>
    <x v="0"/>
    <x v="10"/>
    <x v="2"/>
    <d v="2023-03-01T00:00:00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  <n v="174.2923076923077"/>
    <n v="183.03333333333333"/>
    <n v="188.86666666666667"/>
    <n v="176.875"/>
    <n v="183.64999999999998"/>
  </r>
  <r>
    <x v="1"/>
    <x v="10"/>
    <x v="2"/>
    <d v="2023-03-01T00:00:00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177.1846153846154"/>
    <n v="180.36666666666667"/>
    <n v="175.13333333333333"/>
    <n v="171.51999999999998"/>
    <n v="181.15"/>
  </r>
  <r>
    <x v="2"/>
    <x v="10"/>
    <x v="2"/>
    <d v="2023-03-01T00:00:00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175.32307692307691"/>
    <n v="181.29999999999998"/>
    <n v="183.29999999999998"/>
    <n v="173.76"/>
    <n v="182.7"/>
  </r>
  <r>
    <x v="0"/>
    <x v="10"/>
    <x v="3"/>
    <d v="2023-04-01T00:00:00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174.93846153846152"/>
    <n v="183.86666666666667"/>
    <n v="189.4"/>
    <n v="177.35"/>
    <n v="185.5"/>
  </r>
  <r>
    <x v="1"/>
    <x v="10"/>
    <x v="3"/>
    <d v="2023-04-01T00:00:00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178.28461538461539"/>
    <n v="181.06666666666669"/>
    <n v="175.86666666666667"/>
    <n v="172.24"/>
    <n v="182.95"/>
  </r>
  <r>
    <x v="2"/>
    <x v="10"/>
    <x v="3"/>
    <d v="2023-04-01T00:00:00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176.12307692307695"/>
    <n v="182.1"/>
    <n v="183.93333333333331"/>
    <n v="174.48"/>
    <n v="184.5"/>
  </r>
  <r>
    <x v="0"/>
    <x v="10"/>
    <x v="4"/>
    <d v="2023-05-01T00:00:00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176.20769230769235"/>
    <n v="184.4"/>
    <n v="189.9666666666667"/>
    <n v="178.07499999999999"/>
    <n v="186.35000000000002"/>
  </r>
  <r>
    <x v="1"/>
    <x v="10"/>
    <x v="4"/>
    <d v="2023-05-01T00:00:00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179.62307692307692"/>
    <n v="181.66666666666666"/>
    <n v="176.23333333333335"/>
    <n v="172.85999999999999"/>
    <n v="183.89999999999998"/>
  </r>
  <r>
    <x v="2"/>
    <x v="10"/>
    <x v="4"/>
    <d v="2023-05-01T00:00:00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177.45384615384617"/>
    <n v="182.63333333333333"/>
    <n v="184.4"/>
    <n v="175.09999999999997"/>
    <n v="185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FE92F-27F2-4D09-93F5-D5935142F62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8:H62" firstHeaderRow="1" firstDataRow="2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axis="axisCol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h="1" x="1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item="1" hier="-1"/>
  </pageFields>
  <dataFields count="1">
    <dataField name="General_index" fld="30" subtotal="average" showDataAs="percentDiff" baseField="2" baseItem="1048828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27161-58C7-452C-AB56-AABB99F56812}" name="PivotTable6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6" colHeaderCaption="Months">
  <location ref="AO4:BA11" firstHeaderRow="1" firstDataRow="2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multipleItemSelectionAllowed="1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1">
    <pageField fld="0" item="1" hier="-1"/>
  </pageFields>
  <dataFields count="6">
    <dataField name="Gen index" fld="30" subtotal="average" showDataAs="percentDiff" baseField="2" baseItem="1048828" numFmtId="10"/>
    <dataField name="F&amp;B" fld="31" subtotal="average" showDataAs="percentDiff" baseField="2" baseItem="1048828" numFmtId="10"/>
    <dataField name="C&amp;F" fld="33" subtotal="average" showDataAs="percentDiff" baseField="2" baseItem="1048828" numFmtId="10"/>
    <dataField name="Essen" fld="34" subtotal="average" showDataAs="percentDiff" baseField="2" baseItem="1048828" numFmtId="10"/>
    <dataField name="HC" fld="35" subtotal="average" showDataAs="percentDiff" baseField="2" baseItem="1048828" numFmtId="10"/>
    <dataField name="Misc" fld="32" subtotal="average" showDataAs="percentDiff" baseField="2" baseItem="1048828" numFmtId="10"/>
  </dataFields>
  <formats count="2">
    <format dxfId="27">
      <pivotArea outline="0" collapsedLevelsAreSubtotals="1" fieldPosition="0"/>
    </format>
    <format dxfId="26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54C0E-1DB7-4CDE-AE9D-4FEEA475CE69}" name="PivotTable7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7" colHeaderCaption="Months">
  <location ref="AO21:AZ28" firstHeaderRow="1" firstDataRow="2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axis="axisCol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0" item="1" hier="-1"/>
  </pageFields>
  <dataFields count="6">
    <dataField name="Gen index" fld="30" subtotal="average" showDataAs="percentDiff" baseField="1" baseItem="1048828" numFmtId="10"/>
    <dataField name="F&amp;B" fld="31" subtotal="average" showDataAs="percentDiff" baseField="1" baseItem="1048828" numFmtId="10"/>
    <dataField name="C&amp;F" fld="33" subtotal="average" showDataAs="percentDiff" baseField="1" baseItem="1048828" numFmtId="10"/>
    <dataField name="Essen" fld="34" subtotal="average" showDataAs="percentDiff" baseField="1" baseItem="1048828" numFmtId="10"/>
    <dataField name="HC" fld="35" subtotal="average" showDataAs="percentDiff" baseField="1" baseItem="1048828" numFmtId="10"/>
    <dataField name="Misc" fld="32" subtotal="average" showDataAs="percentDiff" baseField="1" baseItem="1048828" numFmtId="10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B9429-B5C9-4CCB-907C-103DA7B2C65B}" name="PivotTable1" cacheId="6" applyNumberFormats="0" applyBorderFormats="0" applyFontFormats="0" applyPatternFormats="0" applyAlignmentFormats="0" applyWidthHeightFormats="1" dataCaption="Values" missingCaption="" updatedVersion="8" minRefreshableVersion="3" useAutoFormatting="1" itemPrintTitles="1" createdVersion="8" indent="0" outline="1" outlineData="1" multipleFieldFilters="0" chartFormat="26">
  <location ref="A3:C12" firstHeaderRow="0" firstDataRow="1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General_index" fld="30" subtotal="average" baseField="1" baseItem="4"/>
    <dataField name="% diff from Prev year" fld="30" subtotal="average" showDataAs="percentDiff" baseField="1" baseItem="1048828" numFmtId="10"/>
  </dataFields>
  <conditionalFormats count="1">
    <conditionalFormat priority="7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7"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1EB34-379D-425A-A3CF-E3BACBD5F6A0}" name="PivotTable3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9" colHeaderCaption="Years">
  <location ref="O4:W32" firstHeaderRow="1" firstDataRow="2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axis="axisCol" multipleItemSelectionAllowed="1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-2"/>
  </rowFields>
  <row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rowItems>
  <colFields count="1">
    <field x="1"/>
  </colFields>
  <colItems count="8"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0" item="1" hier="-1"/>
  </pageFields>
  <dataFields count="27">
    <dataField name="Food - Cereals and products" fld="4" subtotal="average" showDataAs="percentDiff" baseField="1" baseItem="1048828" numFmtId="10"/>
    <dataField name="Food - Meat and fish" fld="5" subtotal="average" showDataAs="percentDiff" baseField="1" baseItem="1048828" numFmtId="10"/>
    <dataField name="Food - Egg" fld="6" subtotal="average" showDataAs="percentDiff" baseField="1" baseItem="1048828" numFmtId="10"/>
    <dataField name="Food - Milk and products" fld="7" subtotal="average" showDataAs="percentDiff" baseField="1" baseItem="1048828" numFmtId="10"/>
    <dataField name="Food - Oils and fats" fld="8" subtotal="average" showDataAs="percentDiff" baseField="1" baseItem="1048828" numFmtId="10"/>
    <dataField name="Food - Fruits" fld="9" subtotal="average" showDataAs="percentDiff" baseField="1" baseItem="1048828" numFmtId="10"/>
    <dataField name="Food - Vegetables" fld="10" subtotal="average" showDataAs="percentDiff" baseField="1" baseItem="1048828" numFmtId="10"/>
    <dataField name="Food - Pulses and products" fld="11" subtotal="average" showDataAs="percentDiff" baseField="1" baseItem="1048828" numFmtId="10"/>
    <dataField name="Food - Sugar and Confectionery" fld="12" subtotal="average" showDataAs="percentDiff" baseField="1" baseItem="1048828" numFmtId="10"/>
    <dataField name="Food - Spices" fld="13" subtotal="average" showDataAs="percentDiff" baseField="1" baseItem="1048828" numFmtId="10"/>
    <dataField name="Food - Non-alcoholic beverages" fld="14" subtotal="average" showDataAs="percentDiff" baseField="1" baseItem="1048828" numFmtId="10"/>
    <dataField name="Food - Prepared meals, snacks, sweets etc." fld="15" subtotal="average" showDataAs="percentDiff" baseField="1" baseItem="1048828" numFmtId="10"/>
    <dataField name="Food - Food and beverages" fld="16" subtotal="average" showDataAs="percentDiff" baseField="1" baseItem="1048828" numFmtId="10"/>
    <dataField name="Misc - Pan, tobacco and intoxicants" fld="17" subtotal="average" showDataAs="percentDiff" baseField="1" baseItem="1048828" numFmtId="10"/>
    <dataField name="CF Clothing" fld="18" subtotal="average" showDataAs="percentDiff" baseField="1" baseItem="1048828" numFmtId="10"/>
    <dataField name="CF Footwear" fld="19" subtotal="average" showDataAs="percentDiff" baseField="1" baseItem="1048828" numFmtId="10"/>
    <dataField name="CF Clothing and footwear" fld="20" subtotal="average" showDataAs="percentDiff" baseField="1" baseItem="1048828" numFmtId="10"/>
    <dataField name="HH - Housing" fld="21" subtotal="average" showDataAs="percentDiff" baseField="1" baseItem="1048828" numFmtId="10"/>
    <dataField name="HH -Fuel and light" fld="22" subtotal="average" showDataAs="percentDiff" baseField="1" baseItem="1048828" numFmtId="10"/>
    <dataField name="HH - Household goods and services" fld="23" subtotal="average" showDataAs="percentDiff" baseField="1" baseItem="1048828" numFmtId="10"/>
    <dataField name="Misc - Health" fld="24" subtotal="average" showDataAs="percentDiff" baseField="1" baseItem="1048828" numFmtId="10"/>
    <dataField name="Misc - Transport and communication" fld="25" subtotal="average" showDataAs="percentDiff" baseField="1" baseItem="1048828" numFmtId="10"/>
    <dataField name="Misc - Recreation and amusement" fld="26" subtotal="average" showDataAs="percentDiff" baseField="1" baseItem="1048828" numFmtId="10"/>
    <dataField name="Misc - Education" fld="27" subtotal="average" showDataAs="percentDiff" baseField="1" baseItem="1048828" numFmtId="10"/>
    <dataField name="Misc - Personal care and effects" fld="28" subtotal="average" showDataAs="percentDiff" baseField="1" baseItem="1048828" numFmtId="10"/>
    <dataField name="Misc - Miscellaneous" fld="29" subtotal="average" showDataAs="percentDiff" baseField="1" baseItem="1048828" numFmtId="10"/>
    <dataField name="Misc - General index" fld="30" subtotal="average" showDataAs="percentDiff" baseField="1" baseItem="1048828" numFmtId="10"/>
  </dataFields>
  <formats count="3">
    <format dxfId="31">
      <pivotArea collapsedLevelsAreSubtotals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30">
      <pivotArea outline="0" collapsedLevelsAreSubtotals="1" fieldPosition="0"/>
    </format>
    <format dxfId="29">
      <pivotArea outline="0" collapsedLevelsAreSubtotals="1" fieldPosition="0">
        <references count="1">
          <reference field="1" count="0" selected="0"/>
        </references>
      </pivotArea>
    </format>
  </formats>
  <conditionalFormats count="6">
    <conditionalFormat priority="24">
      <pivotAreas count="1">
        <pivotArea type="data" outline="0" collapsedLevelsAreSubtotals="1" fieldPosition="0">
          <references count="1">
            <reference field="1" count="1" selected="0">
              <x v="7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1">
            <reference field="1" count="1" selected="0">
              <x v="7"/>
            </reference>
          </references>
        </pivotArea>
      </pivotAreas>
    </conditionalFormat>
    <conditionalFormat priority="46">
      <pivotAreas count="1">
        <pivotArea type="data" collapsedLevelsAreSubtotals="1" fieldPosition="0">
          <references count="2">
            <reference field="4294967294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  <reference field="1" count="1" selected="0">
              <x v="9"/>
            </reference>
          </references>
        </pivotArea>
      </pivotAreas>
    </conditionalFormat>
    <conditionalFormat priority="47">
      <pivotAreas count="1">
        <pivotArea type="data" collapsedLevelsAreSubtotals="1" fieldPosition="0">
          <references count="2">
            <reference field="4294967294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  <reference field="1" count="1" selected="0">
              <x v="9"/>
            </reference>
          </references>
        </pivotArea>
      </pivotAreas>
    </conditionalFormat>
    <conditionalFormat priority="49">
      <pivotAreas count="1">
        <pivotArea type="data" outline="0" collapsedLevelsAreSubtotals="1" fieldPosition="0">
          <references count="1">
            <reference field="1" count="1" selected="0">
              <x v="10"/>
            </reference>
          </references>
        </pivotArea>
      </pivotAreas>
    </conditionalFormat>
    <conditionalFormat priority="48">
      <pivotAreas count="1">
        <pivotArea type="data" outline="0" collapsedLevelsAreSubtotals="1" fieldPosition="0">
          <references count="1">
            <reference field="1" count="1" selected="0"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04B9-EBAE-4A8D-8857-93367482867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3:C41" firstHeaderRow="0" firstDataRow="1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General_index" fld="30" subtotal="average" baseField="0" baseItem="0"/>
    <dataField name="Sum of General index" fld="30" baseField="0" baseItem="104882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79E4C-5501-40EC-8454-32ABA915DE87}" name="PivotTable8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6" colHeaderCaption="Months">
  <location ref="Y104:AK132" firstHeaderRow="1" firstDataRow="2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multipleItemSelectionAllowed="1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5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-2"/>
  </rowFields>
  <row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1">
    <pageField fld="0" item="1" hier="-1"/>
  </pageFields>
  <dataFields count="27">
    <dataField name="Food - Cereals and products" fld="4" subtotal="average" showDataAs="percentDiff" baseField="2" baseItem="1048828" numFmtId="10"/>
    <dataField name="Food - Meat and fish" fld="5" subtotal="average" showDataAs="percentDiff" baseField="2" baseItem="1048828" numFmtId="10"/>
    <dataField name="Food - Egg" fld="6" subtotal="average" showDataAs="percentDiff" baseField="2" baseItem="1048828" numFmtId="10"/>
    <dataField name="Food - Milk and products" fld="7" subtotal="average" showDataAs="percentDiff" baseField="2" baseItem="1048828" numFmtId="10"/>
    <dataField name="Food - Oils and fats" fld="8" subtotal="average" showDataAs="percentDiff" baseField="2" baseItem="1048828" numFmtId="10"/>
    <dataField name="Food - Fruits" fld="9" subtotal="average" showDataAs="percentDiff" baseField="2" baseItem="1048828" numFmtId="10"/>
    <dataField name="Food - Vegetables" fld="10" subtotal="average" showDataAs="percentDiff" baseField="2" baseItem="1048828" numFmtId="10"/>
    <dataField name="Food - Pulses and products" fld="11" subtotal="average" showDataAs="percentDiff" baseField="2" baseItem="1048828" numFmtId="10"/>
    <dataField name="Food - Sugar and Confectionery" fld="12" subtotal="average" showDataAs="percentDiff" baseField="2" baseItem="1048828" numFmtId="10"/>
    <dataField name="Food - Spices" fld="13" subtotal="average" showDataAs="percentDiff" baseField="2" baseItem="1048828" numFmtId="10"/>
    <dataField name="Food - Non-alcoholic beverages" fld="14" subtotal="average" showDataAs="percentDiff" baseField="2" baseItem="1048828" numFmtId="10"/>
    <dataField name="Food - Prepared meals, snacks, sweets etc." fld="15" subtotal="average" showDataAs="percentDiff" baseField="2" baseItem="1048828" numFmtId="10"/>
    <dataField name="Food - Food and beverages" fld="16" subtotal="average" showDataAs="percentDiff" baseField="2" baseItem="1048828" numFmtId="10"/>
    <dataField name="Misc - Pan, tobacco and intoxicants" fld="17" subtotal="average" showDataAs="percentDiff" baseField="2" baseItem="1048828" numFmtId="10"/>
    <dataField name="CF Clothing" fld="18" subtotal="average" showDataAs="percentDiff" baseField="2" baseItem="1048828" numFmtId="10"/>
    <dataField name="CF Footwear" fld="19" subtotal="average" showDataAs="percentDiff" baseField="2" baseItem="1048828" numFmtId="10"/>
    <dataField name="CF Clothing and footwear" fld="20" subtotal="average" showDataAs="percentDiff" baseField="2" baseItem="1048828" numFmtId="10"/>
    <dataField name="HH - Housing" fld="21" subtotal="average" showDataAs="percentDiff" baseField="2" baseItem="1048828" numFmtId="10"/>
    <dataField name="HH -Fuel and light" fld="22" subtotal="average" showDataAs="percentDiff" baseField="2" baseItem="1048828" numFmtId="10"/>
    <dataField name="HH - Household goods and services" fld="23" subtotal="average" showDataAs="percentDiff" baseField="2" baseItem="1048828" numFmtId="10"/>
    <dataField name="Misc - Health" fld="24" subtotal="average" showDataAs="percentDiff" baseField="2" baseItem="1048828" numFmtId="10"/>
    <dataField name="Misc - Transport and communication" fld="25" subtotal="average" showDataAs="percentDiff" baseField="2" baseItem="1048828" numFmtId="10"/>
    <dataField name="Misc - Recreation and amusement" fld="26" subtotal="average" showDataAs="percentDiff" baseField="2" baseItem="1048828" numFmtId="10"/>
    <dataField name="Misc - Education" fld="27" subtotal="average" showDataAs="percentDiff" baseField="2" baseItem="1048828" numFmtId="10"/>
    <dataField name="Misc - Personal care and effects" fld="28" subtotal="average" showDataAs="percentDiff" baseField="2" baseItem="1048828" numFmtId="10"/>
    <dataField name="Misc - Miscellaneous" fld="29" subtotal="average" showDataAs="percentDiff" baseField="2" baseItem="1048828" numFmtId="10"/>
    <dataField name="Misc - General index" fld="30" subtotal="average" showDataAs="percentDiff" baseField="2" baseItem="1048828" numFmtId="10"/>
  </dataFields>
  <formats count="2">
    <format dxfId="33">
      <pivotArea outline="0" collapsedLevelsAreSubtotals="1" fieldPosition="0"/>
    </format>
    <format dxfId="32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0F432-0870-463F-9995-02CFD36C9F88}" name="PivotTable4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6" colHeaderCaption="Months">
  <location ref="Y4:AK32" firstHeaderRow="1" firstDataRow="2" firstDataCol="1" rowPageCount="1" colPageCount="1"/>
  <pivotFields count="36">
    <pivotField axis="axisPage" showAll="0">
      <items count="4">
        <item x="0"/>
        <item x="2"/>
        <item x="1"/>
        <item t="default"/>
      </items>
    </pivotField>
    <pivotField multipleItemSelectionAllowed="1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5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-2"/>
  </rowFields>
  <row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1">
    <pageField fld="0" item="1" hier="-1"/>
  </pageFields>
  <dataFields count="27">
    <dataField name="Food - Cereals and products" fld="4" subtotal="average" showDataAs="percentDiff" baseField="2" baseItem="1048828" numFmtId="10"/>
    <dataField name="Food - Meat and fish" fld="5" subtotal="average" showDataAs="percentDiff" baseField="2" baseItem="1048828" numFmtId="10"/>
    <dataField name="Food - Egg" fld="6" subtotal="average" showDataAs="percentDiff" baseField="2" baseItem="1048828" numFmtId="10"/>
    <dataField name="Food - Milk and products" fld="7" subtotal="average" showDataAs="percentDiff" baseField="2" baseItem="1048828" numFmtId="10"/>
    <dataField name="Food - Oils and fats" fld="8" subtotal="average" showDataAs="percentDiff" baseField="2" baseItem="1048828" numFmtId="10"/>
    <dataField name="Food - Fruits" fld="9" subtotal="average" showDataAs="percentDiff" baseField="2" baseItem="1048828" numFmtId="10"/>
    <dataField name="Food - Vegetables" fld="10" subtotal="average" showDataAs="percentDiff" baseField="2" baseItem="1048828" numFmtId="10"/>
    <dataField name="Food - Pulses and products" fld="11" subtotal="average" showDataAs="percentDiff" baseField="2" baseItem="1048828" numFmtId="10"/>
    <dataField name="Food - Sugar and Confectionery" fld="12" subtotal="average" showDataAs="percentDiff" baseField="2" baseItem="1048828" numFmtId="10"/>
    <dataField name="Food - Spices" fld="13" subtotal="average" showDataAs="percentDiff" baseField="2" baseItem="1048828" numFmtId="10"/>
    <dataField name="Food - Non-alcoholic beverages" fld="14" subtotal="average" showDataAs="percentDiff" baseField="2" baseItem="1048828" numFmtId="10"/>
    <dataField name="Food - Prepared meals, snacks, sweets etc." fld="15" subtotal="average" showDataAs="percentDiff" baseField="2" baseItem="1048828" numFmtId="10"/>
    <dataField name="Food - Food and beverages" fld="16" subtotal="average" showDataAs="percentDiff" baseField="2" baseItem="1048828" numFmtId="10"/>
    <dataField name="Misc - Pan, tobacco and intoxicants" fld="17" subtotal="average" showDataAs="percentDiff" baseField="2" baseItem="1048828" numFmtId="10"/>
    <dataField name="CF Clothing" fld="18" subtotal="average" showDataAs="percentDiff" baseField="2" baseItem="1048828" numFmtId="10"/>
    <dataField name="CF Footwear" fld="19" subtotal="average" showDataAs="percentDiff" baseField="2" baseItem="1048828" numFmtId="10"/>
    <dataField name="CF Clothing and footwear" fld="20" subtotal="average" showDataAs="percentDiff" baseField="2" baseItem="1048828" numFmtId="10"/>
    <dataField name="HH - Housing" fld="21" subtotal="average" showDataAs="percentDiff" baseField="2" baseItem="1048828" numFmtId="10"/>
    <dataField name="HH -Fuel and light" fld="22" subtotal="average" showDataAs="percentDiff" baseField="2" baseItem="1048828" numFmtId="10"/>
    <dataField name="HH - Household goods and services" fld="23" subtotal="average" showDataAs="percentDiff" baseField="2" baseItem="1048828" numFmtId="10"/>
    <dataField name="Misc - Health" fld="24" subtotal="average" showDataAs="percentDiff" baseField="2" baseItem="1048828" numFmtId="10"/>
    <dataField name="Misc - Transport and communication" fld="25" subtotal="average" showDataAs="percentDiff" baseField="2" baseItem="1048828" numFmtId="10"/>
    <dataField name="Misc - Recreation and amusement" fld="26" subtotal="average" showDataAs="percentDiff" baseField="2" baseItem="1048828" numFmtId="10"/>
    <dataField name="Misc - Education" fld="27" subtotal="average" showDataAs="percentDiff" baseField="2" baseItem="1048828" numFmtId="10"/>
    <dataField name="Misc - Personal care and effects" fld="28" subtotal="average" showDataAs="percentDiff" baseField="2" baseItem="1048828" numFmtId="10"/>
    <dataField name="Misc - Miscellaneous" fld="29" subtotal="average" showDataAs="percentDiff" baseField="2" baseItem="1048828" numFmtId="10"/>
    <dataField name="Misc - General index" fld="30" subtotal="average" showDataAs="percentDiff" baseField="2" baseItem="1048828" numFmtId="10"/>
  </dataFields>
  <formats count="2">
    <format dxfId="35">
      <pivotArea outline="0" collapsedLevelsAreSubtotals="1" fieldPosition="0"/>
    </format>
    <format dxfId="34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1638B-F1D5-4EBE-B8F6-D85BC84363A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D33" firstHeaderRow="1" firstDataRow="2" firstDataCol="1"/>
  <pivotFields count="35">
    <pivotField showAll="0"/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h="1" x="10"/>
        <item t="default"/>
      </items>
    </pivotField>
    <pivotField axis="axisCol" showAll="0">
      <items count="14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m="1" x="1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1"/>
    </i>
    <i t="grand">
      <x/>
    </i>
  </colItems>
  <dataFields count="1">
    <dataField name="Average of General index" fld="3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22AF8-27F0-4D29-AFEC-1114AAD916FA}" name="PivotTable2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2:Q16" firstHeaderRow="1" firstDataRow="2" firstDataCol="1"/>
  <pivotFields count="36">
    <pivotField showAll="0"/>
    <pivotField showAll="0"/>
    <pivotField showAll="0"/>
    <pivotField axis="axisCol" numFmtId="165" multipleItemSelectionAllowed="1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3"/>
  </colFields>
  <colItems count="2">
    <i>
      <x v="111"/>
    </i>
    <i>
      <x v="123"/>
    </i>
  </colItems>
  <dataFields count="13">
    <dataField name="F&amp;B - Cereals and products" fld="4" subtotal="average" baseField="0" baseItem="0"/>
    <dataField name="F&amp;B - Meat and fish" fld="5" subtotal="average" baseField="0" baseItem="0"/>
    <dataField name="F&amp;B - Egg" fld="6" subtotal="average" baseField="0" baseItem="0"/>
    <dataField name="F&amp;B - Milk and products" fld="7" subtotal="average" baseField="0" baseItem="0"/>
    <dataField name="F&amp;B - Oils and fats" fld="8" subtotal="average" baseField="0" baseItem="0"/>
    <dataField name="F&amp;B - Fruits" fld="9" subtotal="average" baseField="0" baseItem="0"/>
    <dataField name="F&amp;B - Vegetables" fld="10" subtotal="average" baseField="0" baseItem="0"/>
    <dataField name="F&amp;B - Pulses and products" fld="11" subtotal="average" baseField="0" baseItem="0"/>
    <dataField name="F&amp;B - Sugar and Confectionery" fld="12" subtotal="average" baseField="0" baseItem="0"/>
    <dataField name="F&amp;B - Spices" fld="13" subtotal="average" baseField="0" baseItem="0"/>
    <dataField name="F&amp;B - Non-alcoholic beverages" fld="14" subtotal="average" baseField="0" baseItem="0"/>
    <dataField name="F&amp;B - Prepared meals, snacks, sweets etc." fld="15" subtotal="average" baseField="0" baseItem="0"/>
    <dataField name="F&amp;B - Food and beverages" fld="16" subtotal="average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922C9-6216-4030-BB95-9A424238B086}" name="PivotTable5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2:I16" firstHeaderRow="1" firstDataRow="2" firstDataCol="1"/>
  <pivotFields count="36">
    <pivotField showAll="0"/>
    <pivotField showAll="0"/>
    <pivotField showAll="0"/>
    <pivotField axis="axisCol" numFmtId="165" multipleItemSelectionAllowed="1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3"/>
  </colFields>
  <colItems count="2">
    <i>
      <x v="111"/>
    </i>
    <i>
      <x v="123"/>
    </i>
  </colItems>
  <dataFields count="13">
    <dataField name="F&amp;B - Cereals and products" fld="4" subtotal="average" baseField="0" baseItem="0"/>
    <dataField name="F&amp;B - Meat and fish" fld="5" subtotal="average" baseField="0" baseItem="0"/>
    <dataField name="F&amp;B - Egg" fld="6" subtotal="average" baseField="0" baseItem="0"/>
    <dataField name="F&amp;B - Milk and products" fld="7" subtotal="average" baseField="0" baseItem="0"/>
    <dataField name="F&amp;B - Oils and fats" fld="8" subtotal="average" baseField="0" baseItem="0"/>
    <dataField name="F&amp;B - Fruits" fld="9" subtotal="average" baseField="0" baseItem="0"/>
    <dataField name="F&amp;B - Vegetables" fld="10" subtotal="average" baseField="0" baseItem="0"/>
    <dataField name="F&amp;B - Pulses and products" fld="11" subtotal="average" baseField="0" baseItem="0"/>
    <dataField name="F&amp;B - Sugar and Confectionery" fld="12" subtotal="average" baseField="0" baseItem="0"/>
    <dataField name="F&amp;B - Spices" fld="13" subtotal="average" baseField="0" baseItem="0"/>
    <dataField name="F&amp;B - Non-alcoholic beverages" fld="14" subtotal="average" baseField="0" baseItem="0"/>
    <dataField name="F&amp;B - Prepared meals, snacks, sweets etc." fld="15" subtotal="average" baseField="0" baseItem="0"/>
    <dataField name="F&amp;B - Food and beverages" fld="16" subtotal="average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2549B-BC14-4391-A8AE-EF1A8FB505D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36">
    <pivotField showAll="0"/>
    <pivotField showAll="0"/>
    <pivotField showAll="0"/>
    <pivotField axis="axisRow" numFmtId="165" multipleItemSelectionAllowed="1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4"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&amp;B" fld="31" subtotal="average" baseField="0" baseItem="0" numFmtId="164"/>
    <dataField name="% Change in F&amp;B" fld="31" subtotal="average" showDataAs="percentDiff" baseField="3" baseItem="1048828" numFmtId="10"/>
    <dataField name="Absolute change in F&amp;B" fld="31" subtotal="average" showDataAs="difference" baseField="3" baseItem="1048828"/>
  </dataFields>
  <formats count="3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</formats>
  <conditionalFormats count="2">
    <conditionalFormat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2"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2"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43A18-1087-4467-A944-9B542DBA6BA4}" name="PivotTable3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4">
  <location ref="O3:T7" firstHeaderRow="1" firstDataRow="2" firstDataCol="1" rowPageCount="1" colPageCount="1"/>
  <pivotFields count="36">
    <pivotField compact="0" outline="0" showAll="0"/>
    <pivotField axis="axisPage" compact="0" outline="0" multipleItemSelectionAllowed="1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compact="0" outline="0" showAll="0"/>
    <pivotField axis="axisCol" compact="0" numFmtId="165" outline="0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h="1" x="86"/>
        <item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-2"/>
  </rowFields>
  <rowItems count="3">
    <i>
      <x/>
    </i>
    <i i="1">
      <x v="1"/>
    </i>
    <i i="2">
      <x v="2"/>
    </i>
  </rowItems>
  <colFields count="1">
    <field x="3"/>
  </colFields>
  <colItems count="5">
    <i>
      <x v="72"/>
    </i>
    <i>
      <x v="85"/>
    </i>
    <i>
      <x v="87"/>
    </i>
    <i>
      <x v="88"/>
    </i>
    <i>
      <x v="106"/>
    </i>
  </colItems>
  <pageFields count="1">
    <pageField fld="1" hier="-1"/>
  </pageFields>
  <dataFields count="3">
    <dataField name="Average of Food Beverages" fld="31" subtotal="average" baseField="0" baseItem="0"/>
    <dataField name="Average of Essentials" fld="34" subtotal="average" baseField="0" baseItem="0"/>
    <dataField name="Average of HealthCare" fld="35" subtotal="average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7FB69-C178-49F1-983F-66172D389C05}" name="PivotTable1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4">
  <location ref="B3:F7" firstHeaderRow="1" firstDataRow="2" firstDataCol="1" rowPageCount="1" colPageCount="1"/>
  <pivotFields count="36">
    <pivotField compact="0" outline="0" showAll="0"/>
    <pivotField axis="axisPage" compact="0" outline="0" multipleItemSelectionAllowed="1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compact="0" outline="0" showAll="0"/>
    <pivotField axis="axisCol" compact="0" numFmtId="165" outline="0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-2"/>
  </rowFields>
  <rowItems count="3">
    <i>
      <x/>
    </i>
    <i i="1">
      <x v="1"/>
    </i>
    <i i="2">
      <x v="2"/>
    </i>
  </rowItems>
  <colFields count="1">
    <field x="3"/>
  </colFields>
  <colItems count="4">
    <i>
      <x v="72"/>
    </i>
    <i>
      <x v="84"/>
    </i>
    <i>
      <x v="85"/>
    </i>
    <i>
      <x v="106"/>
    </i>
  </colItems>
  <pageFields count="1">
    <pageField fld="1" hier="-1"/>
  </pageFields>
  <dataFields count="3">
    <dataField name="Average of Food Beverages" fld="31" subtotal="average" baseField="0" baseItem="0"/>
    <dataField name="Average of Essentials" fld="34" subtotal="average" baseField="0" baseItem="0"/>
    <dataField name="Average of HealthCare" fld="35" subtotal="average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9D6BE-4DAF-46BF-BE53-06C2B00FD452}" name="PivotTable4" cacheId="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4:F74" firstHeaderRow="1" firstDataRow="2" firstDataCol="1" rowPageCount="1" colPageCount="1"/>
  <pivotFields count="36">
    <pivotField compact="0" outline="0" showAll="0">
      <items count="4">
        <item x="0"/>
        <item x="2"/>
        <item x="1"/>
        <item t="default"/>
      </items>
    </pivotField>
    <pivotField name="Y-o-Y" axis="axisPage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axis="axisCol" compact="0" numFmtId="165" outline="0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-2"/>
  </rowFields>
  <row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rowItems>
  <colFields count="1">
    <field x="3"/>
  </colFields>
  <colItems count="4">
    <i>
      <x v="72"/>
    </i>
    <i>
      <x v="84"/>
    </i>
    <i>
      <x v="85"/>
    </i>
    <i>
      <x v="106"/>
    </i>
  </colItems>
  <pageFields count="1">
    <pageField fld="1" hier="-1"/>
  </pageFields>
  <dataFields count="29">
    <dataField name="F&amp;B" fld="31" subtotal="average" baseField="0" baseItem="0"/>
    <dataField name="Essential" fld="34" subtotal="average" baseField="0" baseItem="0"/>
    <dataField name="HC" fld="35" subtotal="average" baseField="0" baseItem="0"/>
    <dataField name="C&amp;F" fld="33" subtotal="average" baseField="0" baseItem="0"/>
    <dataField name="Misc" fld="32" subtotal="average" baseField="0" baseItem="0"/>
    <dataField name="FB Cereals and products" fld="4" subtotal="average" baseField="0" baseItem="1048828"/>
    <dataField name="FB Meat and fish" fld="5" subtotal="average" baseField="0" baseItem="1048828"/>
    <dataField name="FB Egg" fld="6" subtotal="average" baseField="0" baseItem="0"/>
    <dataField name="FB Milk and products" fld="7" subtotal="average" baseField="0" baseItem="0"/>
    <dataField name="FB Oils and fats" fld="8" subtotal="average" baseField="0" baseItem="0"/>
    <dataField name="FB Fruits" fld="9" subtotal="average" baseField="0" baseItem="0"/>
    <dataField name="FB Vegetables" fld="10" subtotal="average" baseField="0" baseItem="0"/>
    <dataField name="FB Pulses and products" fld="11" subtotal="average" baseField="0" baseItem="0"/>
    <dataField name="FB Sugar and Confectionery" fld="12" subtotal="average" baseField="0" baseItem="0"/>
    <dataField name="FB Spices" fld="13" subtotal="average" baseField="0" baseItem="0"/>
    <dataField name="FB Non-alcoholic beverages" fld="14" subtotal="average" baseField="0" baseItem="0"/>
    <dataField name="FB Prepared meals, snacks, sweets etc." fld="15" subtotal="average" baseField="0" baseItem="0"/>
    <dataField name="FB Pan, tobacco and intoxicants" fld="17" subtotal="average" baseField="0" baseItem="0"/>
    <dataField name="CF Clothing" fld="18" subtotal="average" baseField="0" baseItem="0"/>
    <dataField name="CF Footwear" fld="19" subtotal="average" baseField="0" baseItem="0"/>
    <dataField name="Ess Housing" fld="21" subtotal="average" baseField="0" baseItem="0"/>
    <dataField name="Ess Fuel and light" fld="22" subtotal="average" baseField="0" baseItem="0"/>
    <dataField name="Ess HealthCare" fld="24" subtotal="average" baseField="0" baseItem="0"/>
    <dataField name="Ess Transport and communication" fld="25" subtotal="average" baseField="0" baseItem="0"/>
    <dataField name="Ess Recreation and amusement" fld="26" subtotal="average" baseField="0" baseItem="0"/>
    <dataField name="Ess Education" fld="27" subtotal="average" baseField="0" baseItem="0"/>
    <dataField name="Misc Personal care and effects" fld="28" subtotal="average" baseField="0" baseItem="0"/>
    <dataField name="Misc " fld="29" subtotal="average" baseField="0" baseItem="0"/>
    <dataField name="Gen Index" fld="30" subtotal="average" baseField="0" baseItem="0"/>
  </dataFields>
  <formats count="2">
    <format dxfId="4">
      <pivotArea outline="0" collapsedLevelsAreSubtotals="1" fieldPosition="0"/>
    </format>
    <format dxfId="3">
      <pivotArea field="1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62DA3-171D-4E6B-A231-7E69CC1FF027}" name="PivotTable2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18:E37" firstHeaderRow="0" firstDataRow="1" firstDataCol="1" rowPageCount="1" colPageCount="1"/>
  <pivotFields count="36">
    <pivotField compact="0" outline="0" showAll="0"/>
    <pivotField name="Y-o-Y" axis="axisPage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axis="axisRow" compact="0" numFmtId="165" outline="0" showAll="0">
      <items count="12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3"/>
  </rowFields>
  <rowItems count="19">
    <i>
      <x/>
    </i>
    <i>
      <x v="11"/>
    </i>
    <i>
      <x v="12"/>
    </i>
    <i>
      <x v="23"/>
    </i>
    <i>
      <x v="24"/>
    </i>
    <i>
      <x v="35"/>
    </i>
    <i>
      <x v="36"/>
    </i>
    <i>
      <x v="47"/>
    </i>
    <i>
      <x v="48"/>
    </i>
    <i>
      <x v="59"/>
    </i>
    <i>
      <x v="60"/>
    </i>
    <i>
      <x v="71"/>
    </i>
    <i>
      <x v="72"/>
    </i>
    <i>
      <x v="84"/>
    </i>
    <i>
      <x v="85"/>
    </i>
    <i>
      <x v="106"/>
    </i>
    <i>
      <x v="107"/>
    </i>
    <i>
      <x v="1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F&amp;B" fld="31" subtotal="average" baseField="0" baseItem="0"/>
    <dataField name="Essential" fld="34" subtotal="average" baseField="0" baseItem="0"/>
    <dataField name="HC" fld="35" subtotal="average" baseField="0" baseItem="0"/>
  </dataFields>
  <formats count="2">
    <format dxfId="6">
      <pivotArea outline="0" collapsedLevelsAreSubtotals="1" fieldPosition="0"/>
    </format>
    <format dxfId="5">
      <pivotArea field="1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50F4F-22A9-41CE-9FFE-8FFE842EE6AB}" name="PivotTable1" cacheId="4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 chartFormat="9" colHeaderCaption="Months">
  <location ref="B35:AF63" firstHeaderRow="1" firstDataRow="2" firstDataCol="1" rowPageCount="1" colPageCount="1"/>
  <pivotFields count="36">
    <pivotField axis="axisPage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65" outline="0" subtotalTop="0" showAll="0" defaultSubtotal="0">
      <items count="12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-2"/>
  </rowFields>
  <row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rowItems>
  <colFields count="1">
    <field x="3"/>
  </colFields>
  <colItems count="30"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</colItems>
  <pageFields count="1">
    <pageField fld="0" hier="-1"/>
  </pageFields>
  <dataFields count="27">
    <dataField name="Food - Cereals and products" fld="4" subtotal="average" showDataAs="percentDiff" baseField="3" baseItem="1048828" numFmtId="10"/>
    <dataField name="Food - Meat and fish" fld="5" subtotal="average" showDataAs="percentDiff" baseField="3" baseItem="1048828" numFmtId="10"/>
    <dataField name="Food - Egg" fld="6" subtotal="average" showDataAs="percentDiff" baseField="3" baseItem="1048828" numFmtId="10"/>
    <dataField name="Food - Milk and products" fld="7" subtotal="average" showDataAs="percentDiff" baseField="3" baseItem="1048828" numFmtId="10"/>
    <dataField name="Food - Oils and fats" fld="8" subtotal="average" showDataAs="percentDiff" baseField="3" baseItem="1048828" numFmtId="10"/>
    <dataField name="Food - Fruits" fld="9" subtotal="average" showDataAs="percentDiff" baseField="3" baseItem="1048828" numFmtId="10"/>
    <dataField name="Food - Vegetables" fld="10" subtotal="average" showDataAs="percentDiff" baseField="3" baseItem="1048828" numFmtId="10"/>
    <dataField name="Food - Pulses and products" fld="11" subtotal="average" showDataAs="percentDiff" baseField="3" baseItem="1048828" numFmtId="10"/>
    <dataField name="Food - Sugar and Confectionery" fld="12" subtotal="average" showDataAs="percentDiff" baseField="3" baseItem="1048828" numFmtId="10"/>
    <dataField name="Food - Spices" fld="13" subtotal="average" showDataAs="percentDiff" baseField="3" baseItem="1048828" numFmtId="10"/>
    <dataField name="Food - Non-alcoholic beverages" fld="14" subtotal="average" showDataAs="percentDiff" baseField="3" baseItem="1048828" numFmtId="10"/>
    <dataField name="Food - Prepared meals, snacks, sweets etc." fld="15" subtotal="average" showDataAs="percentDiff" baseField="3" baseItem="1048828" numFmtId="10"/>
    <dataField name="Food - Food and beverages" fld="16" subtotal="average" showDataAs="percentDiff" baseField="3" baseItem="1048828" numFmtId="10"/>
    <dataField name="Misc - Pan, tobacco and intoxicants" fld="17" subtotal="average" showDataAs="percentDiff" baseField="3" baseItem="1048828" numFmtId="10"/>
    <dataField name="CF Clothing" fld="18" subtotal="average" showDataAs="percentDiff" baseField="3" baseItem="1048828" numFmtId="10"/>
    <dataField name="CF Footwear" fld="19" subtotal="average" showDataAs="percentDiff" baseField="3" baseItem="1048828" numFmtId="10"/>
    <dataField name="CF Clothing and footwear" fld="20" subtotal="average" showDataAs="percentDiff" baseField="3" baseItem="1048828" numFmtId="10"/>
    <dataField name="HH - Housing" fld="21" subtotal="average" showDataAs="percentDiff" baseField="3" baseItem="1048828" numFmtId="10"/>
    <dataField name="HH -Fuel and light" fld="22" subtotal="average" showDataAs="percentDiff" baseField="3" baseItem="1048828" numFmtId="10"/>
    <dataField name="HH - Household goods and services" fld="23" subtotal="average" showDataAs="percentDiff" baseField="3" baseItem="1048828" numFmtId="10"/>
    <dataField name="Misc - Health" fld="24" subtotal="average" showDataAs="percentDiff" baseField="3" baseItem="1048828" numFmtId="10"/>
    <dataField name="Misc - Transport and communication" fld="25" subtotal="average" showDataAs="percentDiff" baseField="3" baseItem="1048828" numFmtId="10"/>
    <dataField name="Misc - Recreation and amusement" fld="26" subtotal="average" showDataAs="percentDiff" baseField="3" baseItem="1048828" numFmtId="10"/>
    <dataField name="Misc - Education" fld="27" subtotal="average" showDataAs="percentDiff" baseField="3" baseItem="1048828" numFmtId="10"/>
    <dataField name="Misc - Personal care and effects" fld="28" subtotal="average" showDataAs="percentDiff" baseField="3" baseItem="1048828" numFmtId="10"/>
    <dataField name="Misc - Miscellaneous" fld="29" subtotal="average" showDataAs="percentDiff" baseField="3" baseItem="1048828" numFmtId="10"/>
    <dataField name="Misc - General index" fld="30" subtotal="average" showDataAs="percentDiff" baseField="3" baseItem="1048828" numFmtId="10"/>
  </dataFields>
  <formats count="1">
    <format dxfId="0">
      <pivotArea outline="0" collapsedLevelsAreSubtotals="1" fieldPosition="0"/>
    </format>
  </formats>
  <chartFormats count="29"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8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44AC0-0C73-45DE-8677-8AC58721E13C}" name="Main" displayName="Main" ref="A1:AJ373" totalsRowShown="0">
  <autoFilter ref="A1:AJ373" xr:uid="{04644AC0-0C73-45DE-8677-8AC58721E13C}"/>
  <tableColumns count="36">
    <tableColumn id="1" xr3:uid="{AFD93EDF-4741-4499-B002-A4AFDC39F635}" name="Sector" dataDxfId="101"/>
    <tableColumn id="2" xr3:uid="{502BB75C-8212-4CAD-B0B8-04E72055D56C}" name="Year" dataDxfId="100"/>
    <tableColumn id="3" xr3:uid="{395AE149-0B94-4D60-BC88-A51AD281E16A}" name="Month" dataDxfId="99"/>
    <tableColumn id="35" xr3:uid="{0E2D6A43-B3F3-4626-9C2B-A78A0813ACC1}" name="Year-Month" dataDxfId="98">
      <calculatedColumnFormula>DATEVALUE(Main[[#This Row],[Month]]&amp;Main[[#This Row],[Year]])</calculatedColumnFormula>
    </tableColumn>
    <tableColumn id="4" xr3:uid="{C1D9AA70-4B9C-4AFD-BE78-0531D318A6CD}" name="Cereals and products" dataDxfId="97"/>
    <tableColumn id="5" xr3:uid="{14DF6704-D623-42AA-B2C0-F609DBD7BEE0}" name="Meat and fish" dataDxfId="96"/>
    <tableColumn id="6" xr3:uid="{E27617AE-0DB0-4F3D-97B8-15405DCD2CB5}" name="Egg" dataDxfId="95"/>
    <tableColumn id="7" xr3:uid="{05961E1A-43CA-4064-8562-25C9F05420DC}" name="Milk and products" dataDxfId="94"/>
    <tableColumn id="8" xr3:uid="{7C487819-7532-4E4C-AAF5-8FA295F11614}" name="Oils and fats" dataDxfId="93"/>
    <tableColumn id="9" xr3:uid="{AFC45F25-9355-4FCF-94FD-B9472945FCBF}" name="Fruits" dataDxfId="92"/>
    <tableColumn id="10" xr3:uid="{88B90FDF-5F1B-4481-BE35-92B6666EB6F0}" name="Vegetables" dataDxfId="91"/>
    <tableColumn id="11" xr3:uid="{F9201FC8-E1BE-4F55-B31D-43428CDB383B}" name="Pulses and products" dataDxfId="90"/>
    <tableColumn id="12" xr3:uid="{5E206ECB-C62F-4424-BB3B-3B088F5BB8E0}" name="Sugar and Confectionery" dataDxfId="89"/>
    <tableColumn id="13" xr3:uid="{7ABC4BB1-C488-4273-9209-40ECDEB9447C}" name="Spices" dataDxfId="88"/>
    <tableColumn id="14" xr3:uid="{F048DEC4-98FC-48DC-BD8B-16B244F383C4}" name="Non-alcoholic beverages" dataDxfId="87"/>
    <tableColumn id="15" xr3:uid="{2D6B3CFE-0933-4933-B1F9-5191FEC620F6}" name="Prepared meals, snacks, sweets etc." dataDxfId="86"/>
    <tableColumn id="16" xr3:uid="{29132B68-ECD0-455D-9D04-D4606B54EDCE}" name="Food and beverages" dataDxfId="85"/>
    <tableColumn id="17" xr3:uid="{F525538D-1B37-4E1C-9AC9-23F5FAB37249}" name="Pan, tobacco and intoxicants" dataDxfId="84"/>
    <tableColumn id="18" xr3:uid="{213D69FF-2DE8-40DB-A5C7-7389C53BBAEF}" name="Clothing" dataDxfId="83"/>
    <tableColumn id="19" xr3:uid="{858B1C9C-70B5-4916-AFED-A29E40494CC7}" name="Footwear" dataDxfId="82"/>
    <tableColumn id="20" xr3:uid="{F516D3AB-B74B-4968-852A-F9C76C138AD5}" name="Clothing and footwear" dataDxfId="81"/>
    <tableColumn id="21" xr3:uid="{90A4F2A8-2C46-4993-9A8E-7CA38AE3461D}" name="Housing" dataDxfId="80"/>
    <tableColumn id="22" xr3:uid="{EE138E13-406E-475A-96DD-8F95F9A65B16}" name="Fuel and light" dataDxfId="79"/>
    <tableColumn id="23" xr3:uid="{5CB0FB13-BDE6-48B6-991D-A2BC58D7A0F2}" name="Household goods and services" dataDxfId="78"/>
    <tableColumn id="24" xr3:uid="{AE3BD1CC-2307-40B4-BAA8-A4AC502D41E3}" name="Health" dataDxfId="77"/>
    <tableColumn id="25" xr3:uid="{599D9BFF-F986-4375-A60B-D0F45BBB46F1}" name="Transport and communication" dataDxfId="76"/>
    <tableColumn id="26" xr3:uid="{81843C49-EF0A-4EBB-9810-B22A30C669B8}" name="Recreation and amusement" dataDxfId="75"/>
    <tableColumn id="27" xr3:uid="{BD818E49-F5C3-402A-B662-63E0776EF68E}" name="Education" dataDxfId="74"/>
    <tableColumn id="28" xr3:uid="{B9CF0503-F7BC-4D48-BC4B-21C87A31C52B}" name="Personal care and effects" dataDxfId="73"/>
    <tableColumn id="29" xr3:uid="{B08D352F-5D24-4B32-A561-E292DA7E2C45}" name="Miscellaneous" dataDxfId="72"/>
    <tableColumn id="30" xr3:uid="{0309DE5E-7244-4F94-B47F-9533DCD35FF3}" name="General index" dataDxfId="71"/>
    <tableColumn id="31" xr3:uid="{4770C59F-20D4-475C-AD23-D95DEF42F75E}" name="Food Beverages" dataDxfId="70">
      <calculatedColumnFormula>IFERROR(AVERAGE(E2:Q2),"NA")</calculatedColumnFormula>
    </tableColumn>
    <tableColumn id="32" xr3:uid="{C1DA0AD7-E31F-422E-AC6B-66EF1A1EEBC3}" name="Miscellaneous2" dataDxfId="69">
      <calculatedColumnFormula>IFERROR(AVERAGE(R2,AA2,AD2),"NA")</calculatedColumnFormula>
    </tableColumn>
    <tableColumn id="33" xr3:uid="{472B407C-14B4-4B9B-9C18-1A2AC396CCE0}" name="Clothing and footwear3" dataDxfId="68">
      <calculatedColumnFormula>IFERROR(AVERAGE(S2:U2),"NA")</calculatedColumnFormula>
    </tableColumn>
    <tableColumn id="34" xr3:uid="{FB11CCF7-7A53-498B-80E9-50A4924F49B7}" name="Essentials" dataDxfId="67">
      <calculatedColumnFormula>IFERROR(AVERAGE(V2,W2,X2,Z2,AB2),"NA")</calculatedColumnFormula>
    </tableColumn>
    <tableColumn id="36" xr3:uid="{841D4F63-95BB-4741-8E4E-62F3F8AF144C}" name="HealthCare" dataDxfId="66">
      <calculatedColumnFormula>IFERROR(AVERAGE(Main[[#This Row],[Health]],Main[[#This Row],[Personal care and effects]]),"NA")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962059-033D-41B9-8370-333BECFC0CD2}" name="Table1" displayName="Table1" ref="J1:M77" totalsRowShown="0" headerRowDxfId="25" dataDxfId="24">
  <autoFilter ref="J1:M77" xr:uid="{A70C035E-55A5-4260-BD34-17E2805DB740}"/>
  <tableColumns count="4">
    <tableColumn id="1" xr3:uid="{1AE6991B-A8C1-430E-AE1A-FBD3BF1CA1E7}" name="Sector" dataDxfId="23"/>
    <tableColumn id="2" xr3:uid="{A9CD8CD1-0804-4E7A-B5B0-42F880E46027}" name="Year" dataDxfId="22"/>
    <tableColumn id="3" xr3:uid="{F9A91595-0531-498C-9780-ED92D321EFBD}" name="Month" dataDxfId="21"/>
    <tableColumn id="4" xr3:uid="{1A851335-DE77-4BFC-A8A5-F06EEB27264C}" name="General index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9998-30E9-4980-A31F-B010F2D6652F}">
  <sheetPr>
    <outlinePr summaryBelow="0" summaryRight="0"/>
  </sheetPr>
  <dimension ref="A1:BD373"/>
  <sheetViews>
    <sheetView zoomScale="78" workbookViewId="0">
      <pane xSplit="3" ySplit="1" topLeftCell="AJ2" activePane="bottomRight" state="frozen"/>
      <selection pane="topRight" activeCell="D1" sqref="D1"/>
      <selection pane="bottomLeft" activeCell="A2" sqref="A2"/>
      <selection pane="bottomRight" activeCell="AJ1" sqref="AJ1"/>
    </sheetView>
  </sheetViews>
  <sheetFormatPr defaultColWidth="12.6640625" defaultRowHeight="15.75" customHeight="1" x14ac:dyDescent="0.25"/>
  <cols>
    <col min="4" max="4" width="13.33203125" customWidth="1"/>
    <col min="5" max="5" width="22.109375" bestFit="1" customWidth="1"/>
    <col min="6" max="6" width="15" bestFit="1" customWidth="1"/>
    <col min="8" max="8" width="19" bestFit="1" customWidth="1"/>
    <col min="9" max="9" width="14.33203125" bestFit="1" customWidth="1"/>
    <col min="11" max="11" width="13" bestFit="1" customWidth="1"/>
    <col min="12" max="12" width="21.44140625" bestFit="1" customWidth="1"/>
    <col min="13" max="13" width="25.33203125" bestFit="1" customWidth="1"/>
    <col min="15" max="15" width="25.109375" bestFit="1" customWidth="1"/>
    <col min="16" max="16" width="30.6640625" bestFit="1" customWidth="1"/>
    <col min="17" max="17" width="21.109375" bestFit="1" customWidth="1"/>
    <col min="18" max="18" width="28.88671875" bestFit="1" customWidth="1"/>
    <col min="21" max="21" width="22.6640625" bestFit="1" customWidth="1"/>
    <col min="23" max="23" width="15.109375" bestFit="1" customWidth="1"/>
    <col min="24" max="24" width="30.5546875" bestFit="1" customWidth="1"/>
    <col min="26" max="26" width="29.88671875" bestFit="1" customWidth="1"/>
    <col min="27" max="27" width="27.44140625" bestFit="1" customWidth="1"/>
    <col min="29" max="29" width="25.6640625" bestFit="1" customWidth="1"/>
    <col min="30" max="30" width="15.88671875" bestFit="1" customWidth="1"/>
    <col min="31" max="31" width="15.44140625" bestFit="1" customWidth="1"/>
    <col min="32" max="32" width="27.44140625" style="6" bestFit="1" customWidth="1"/>
    <col min="33" max="33" width="16.88671875" style="6" bestFit="1" customWidth="1"/>
    <col min="34" max="34" width="23.6640625" style="6" bestFit="1" customWidth="1"/>
    <col min="35" max="35" width="12.6640625" style="6"/>
    <col min="36" max="36" width="13.5546875" style="6" customWidth="1"/>
  </cols>
  <sheetData>
    <row r="1" spans="1:36" ht="13.2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spans="1:36" ht="13.2" x14ac:dyDescent="0.25">
      <c r="A2" s="1" t="s">
        <v>36</v>
      </c>
      <c r="B2" s="1">
        <v>2013</v>
      </c>
      <c r="C2" s="1" t="s">
        <v>37</v>
      </c>
      <c r="D2" s="8">
        <f>DATEVALUE(Main[[#This Row],[Month]]&amp;Main[[#This Row],[Year]])</f>
        <v>41275</v>
      </c>
      <c r="E2" s="1">
        <v>107.5</v>
      </c>
      <c r="F2" s="1">
        <v>106.3</v>
      </c>
      <c r="G2" s="1">
        <v>108.1</v>
      </c>
      <c r="H2" s="1">
        <v>104.9</v>
      </c>
      <c r="I2" s="1">
        <v>106.1</v>
      </c>
      <c r="J2" s="1">
        <v>103.9</v>
      </c>
      <c r="K2" s="1">
        <v>101.9</v>
      </c>
      <c r="L2" s="1">
        <v>106.1</v>
      </c>
      <c r="M2" s="1">
        <v>106.8</v>
      </c>
      <c r="N2" s="1">
        <v>103.1</v>
      </c>
      <c r="O2" s="1">
        <v>104.8</v>
      </c>
      <c r="P2" s="1">
        <v>106.7</v>
      </c>
      <c r="Q2" s="1">
        <v>105.5</v>
      </c>
      <c r="R2" s="1">
        <v>105.1</v>
      </c>
      <c r="S2" s="1">
        <v>106.5</v>
      </c>
      <c r="T2" s="1">
        <v>105.8</v>
      </c>
      <c r="U2" s="1">
        <v>106.4</v>
      </c>
      <c r="V2" s="1" t="s">
        <v>38</v>
      </c>
      <c r="W2" s="1">
        <v>105.5</v>
      </c>
      <c r="X2" s="1">
        <v>104.8</v>
      </c>
      <c r="Y2" s="1">
        <v>104</v>
      </c>
      <c r="Z2" s="1">
        <v>103.3</v>
      </c>
      <c r="AA2" s="1">
        <v>103.4</v>
      </c>
      <c r="AB2" s="1">
        <v>103.8</v>
      </c>
      <c r="AC2" s="1">
        <v>104.7</v>
      </c>
      <c r="AD2" s="1">
        <v>104</v>
      </c>
      <c r="AE2" s="1">
        <v>105.1</v>
      </c>
      <c r="AF2" s="6">
        <f t="shared" ref="AF2:AF65" si="0">IFERROR(AVERAGE(E2:Q2),"NA")</f>
        <v>105.5153846153846</v>
      </c>
      <c r="AG2" s="6">
        <f t="shared" ref="AG2:AG65" si="1">IFERROR(AVERAGE(R2,AA2,AD2),"NA")</f>
        <v>104.16666666666667</v>
      </c>
      <c r="AH2" s="6">
        <f t="shared" ref="AH2:AH65" si="2">IFERROR(AVERAGE(S2:U2),"NA")</f>
        <v>106.23333333333335</v>
      </c>
      <c r="AI2" s="6">
        <f t="shared" ref="AI2:AI65" si="3">IFERROR(AVERAGE(V2,W2,X2,Z2,AB2),"NA")</f>
        <v>104.35000000000001</v>
      </c>
      <c r="AJ2" s="15">
        <f>IFERROR(AVERAGE(Main[[#This Row],[Health]],Main[[#This Row],[Personal care and effects]]),"NA")</f>
        <v>104.35</v>
      </c>
    </row>
    <row r="3" spans="1:36" ht="13.2" x14ac:dyDescent="0.25">
      <c r="A3" s="1" t="s">
        <v>39</v>
      </c>
      <c r="B3" s="1">
        <v>2013</v>
      </c>
      <c r="C3" s="1" t="s">
        <v>37</v>
      </c>
      <c r="D3" s="8">
        <f>DATEVALUE(Main[[#This Row],[Month]]&amp;Main[[#This Row],[Year]])</f>
        <v>41275</v>
      </c>
      <c r="E3" s="1">
        <v>110.5</v>
      </c>
      <c r="F3" s="1">
        <v>109.1</v>
      </c>
      <c r="G3" s="1">
        <v>113</v>
      </c>
      <c r="H3" s="1">
        <v>103.6</v>
      </c>
      <c r="I3" s="1">
        <v>103.4</v>
      </c>
      <c r="J3" s="1">
        <v>102.3</v>
      </c>
      <c r="K3" s="1">
        <v>102.9</v>
      </c>
      <c r="L3" s="1">
        <v>105.8</v>
      </c>
      <c r="M3" s="1">
        <v>105.1</v>
      </c>
      <c r="N3" s="1">
        <v>101.8</v>
      </c>
      <c r="O3" s="1">
        <v>105.1</v>
      </c>
      <c r="P3" s="1">
        <v>107.9</v>
      </c>
      <c r="Q3" s="1">
        <v>105.9</v>
      </c>
      <c r="R3" s="1">
        <v>105.2</v>
      </c>
      <c r="S3" s="1">
        <v>105.9</v>
      </c>
      <c r="T3" s="1">
        <v>105</v>
      </c>
      <c r="U3" s="1">
        <v>105.8</v>
      </c>
      <c r="V3" s="1">
        <v>100.3</v>
      </c>
      <c r="W3" s="1">
        <v>105.4</v>
      </c>
      <c r="X3" s="1">
        <v>104.8</v>
      </c>
      <c r="Y3" s="1">
        <v>104.1</v>
      </c>
      <c r="Z3" s="1">
        <v>103.2</v>
      </c>
      <c r="AA3" s="1">
        <v>102.9</v>
      </c>
      <c r="AB3" s="1">
        <v>103.5</v>
      </c>
      <c r="AC3" s="1">
        <v>104.3</v>
      </c>
      <c r="AD3" s="1">
        <v>103.7</v>
      </c>
      <c r="AE3" s="1">
        <v>104</v>
      </c>
      <c r="AF3" s="6">
        <f t="shared" si="0"/>
        <v>105.87692307692308</v>
      </c>
      <c r="AG3" s="6">
        <f t="shared" si="1"/>
        <v>103.93333333333334</v>
      </c>
      <c r="AH3" s="6">
        <f t="shared" si="2"/>
        <v>105.56666666666666</v>
      </c>
      <c r="AI3" s="6">
        <f t="shared" si="3"/>
        <v>103.44000000000001</v>
      </c>
      <c r="AJ3" s="6">
        <f>IFERROR(AVERAGE(Main[[#This Row],[Health]],Main[[#This Row],[Personal care and effects]]),"NA")</f>
        <v>104.19999999999999</v>
      </c>
    </row>
    <row r="4" spans="1:36" ht="13.2" x14ac:dyDescent="0.25">
      <c r="A4" s="1" t="s">
        <v>40</v>
      </c>
      <c r="B4" s="1">
        <v>2013</v>
      </c>
      <c r="C4" s="1" t="s">
        <v>37</v>
      </c>
      <c r="D4" s="8">
        <f>DATEVALUE(Main[[#This Row],[Month]]&amp;Main[[#This Row],[Year]])</f>
        <v>41275</v>
      </c>
      <c r="E4" s="1">
        <v>108.4</v>
      </c>
      <c r="F4" s="1">
        <v>107.3</v>
      </c>
      <c r="G4" s="1">
        <v>110</v>
      </c>
      <c r="H4" s="1">
        <v>104.4</v>
      </c>
      <c r="I4" s="1">
        <v>105.1</v>
      </c>
      <c r="J4" s="1">
        <v>103.2</v>
      </c>
      <c r="K4" s="1">
        <v>102.2</v>
      </c>
      <c r="L4" s="1">
        <v>106</v>
      </c>
      <c r="M4" s="1">
        <v>106.2</v>
      </c>
      <c r="N4" s="1">
        <v>102.7</v>
      </c>
      <c r="O4" s="1">
        <v>104.9</v>
      </c>
      <c r="P4" s="1">
        <v>107.3</v>
      </c>
      <c r="Q4" s="1">
        <v>105.6</v>
      </c>
      <c r="R4" s="1">
        <v>105.1</v>
      </c>
      <c r="S4" s="1">
        <v>106.3</v>
      </c>
      <c r="T4" s="1">
        <v>105.5</v>
      </c>
      <c r="U4" s="1">
        <v>106.2</v>
      </c>
      <c r="V4" s="1">
        <v>100.3</v>
      </c>
      <c r="W4" s="1">
        <v>105.5</v>
      </c>
      <c r="X4" s="1">
        <v>104.8</v>
      </c>
      <c r="Y4" s="1">
        <v>104</v>
      </c>
      <c r="Z4" s="1">
        <v>103.2</v>
      </c>
      <c r="AA4" s="1">
        <v>103.1</v>
      </c>
      <c r="AB4" s="1">
        <v>103.6</v>
      </c>
      <c r="AC4" s="1">
        <v>104.5</v>
      </c>
      <c r="AD4" s="1">
        <v>103.9</v>
      </c>
      <c r="AE4" s="1">
        <v>104.6</v>
      </c>
      <c r="AF4" s="6">
        <f t="shared" si="0"/>
        <v>105.63846153846156</v>
      </c>
      <c r="AG4" s="6">
        <f t="shared" si="1"/>
        <v>104.03333333333335</v>
      </c>
      <c r="AH4" s="6">
        <f t="shared" si="2"/>
        <v>106</v>
      </c>
      <c r="AI4" s="6">
        <f t="shared" si="3"/>
        <v>103.47999999999999</v>
      </c>
      <c r="AJ4" s="6">
        <f>IFERROR(AVERAGE(Main[[#This Row],[Health]],Main[[#This Row],[Personal care and effects]]),"NA")</f>
        <v>104.25</v>
      </c>
    </row>
    <row r="5" spans="1:36" ht="13.2" x14ac:dyDescent="0.25">
      <c r="A5" s="1" t="s">
        <v>36</v>
      </c>
      <c r="B5" s="1">
        <v>2013</v>
      </c>
      <c r="C5" s="1" t="s">
        <v>41</v>
      </c>
      <c r="D5" s="8">
        <f>DATEVALUE(Main[[#This Row],[Month]]&amp;Main[[#This Row],[Year]])</f>
        <v>41306</v>
      </c>
      <c r="E5" s="1">
        <v>109.2</v>
      </c>
      <c r="F5" s="1">
        <v>108.7</v>
      </c>
      <c r="G5" s="1">
        <v>110.2</v>
      </c>
      <c r="H5" s="1">
        <v>105.4</v>
      </c>
      <c r="I5" s="1">
        <v>106.7</v>
      </c>
      <c r="J5" s="1">
        <v>104</v>
      </c>
      <c r="K5" s="1">
        <v>102.4</v>
      </c>
      <c r="L5" s="1">
        <v>105.9</v>
      </c>
      <c r="M5" s="1">
        <v>105.7</v>
      </c>
      <c r="N5" s="1">
        <v>103.1</v>
      </c>
      <c r="O5" s="1">
        <v>105.1</v>
      </c>
      <c r="P5" s="1">
        <v>107.7</v>
      </c>
      <c r="Q5" s="1">
        <v>106.3</v>
      </c>
      <c r="R5" s="1">
        <v>105.6</v>
      </c>
      <c r="S5" s="1">
        <v>107.1</v>
      </c>
      <c r="T5" s="1">
        <v>106.3</v>
      </c>
      <c r="U5" s="1">
        <v>107</v>
      </c>
      <c r="V5" s="1" t="s">
        <v>38</v>
      </c>
      <c r="W5" s="1">
        <v>106.2</v>
      </c>
      <c r="X5" s="1">
        <v>105.2</v>
      </c>
      <c r="Y5" s="1">
        <v>104.4</v>
      </c>
      <c r="Z5" s="1">
        <v>103.9</v>
      </c>
      <c r="AA5" s="1">
        <v>104</v>
      </c>
      <c r="AB5" s="1">
        <v>104.1</v>
      </c>
      <c r="AC5" s="1">
        <v>104.6</v>
      </c>
      <c r="AD5" s="1">
        <v>104.4</v>
      </c>
      <c r="AE5" s="1">
        <v>105.8</v>
      </c>
      <c r="AF5" s="6">
        <f t="shared" si="0"/>
        <v>106.18461538461537</v>
      </c>
      <c r="AG5" s="6">
        <f t="shared" si="1"/>
        <v>104.66666666666667</v>
      </c>
      <c r="AH5" s="6">
        <f t="shared" si="2"/>
        <v>106.8</v>
      </c>
      <c r="AI5" s="6">
        <f t="shared" si="3"/>
        <v>104.85</v>
      </c>
      <c r="AJ5" s="6">
        <f>IFERROR(AVERAGE(Main[[#This Row],[Health]],Main[[#This Row],[Personal care and effects]]),"NA")</f>
        <v>104.5</v>
      </c>
    </row>
    <row r="6" spans="1:36" ht="13.2" x14ac:dyDescent="0.25">
      <c r="A6" s="1" t="s">
        <v>39</v>
      </c>
      <c r="B6" s="1">
        <v>2013</v>
      </c>
      <c r="C6" s="1" t="s">
        <v>41</v>
      </c>
      <c r="D6" s="8">
        <f>DATEVALUE(Main[[#This Row],[Month]]&amp;Main[[#This Row],[Year]])</f>
        <v>41306</v>
      </c>
      <c r="E6" s="1">
        <v>112.9</v>
      </c>
      <c r="F6" s="1">
        <v>112.9</v>
      </c>
      <c r="G6" s="1">
        <v>116.9</v>
      </c>
      <c r="H6" s="1">
        <v>104</v>
      </c>
      <c r="I6" s="1">
        <v>103.5</v>
      </c>
      <c r="J6" s="1">
        <v>103.1</v>
      </c>
      <c r="K6" s="1">
        <v>104.9</v>
      </c>
      <c r="L6" s="1">
        <v>104.1</v>
      </c>
      <c r="M6" s="1">
        <v>103.8</v>
      </c>
      <c r="N6" s="1">
        <v>102.3</v>
      </c>
      <c r="O6" s="1">
        <v>106</v>
      </c>
      <c r="P6" s="1">
        <v>109</v>
      </c>
      <c r="Q6" s="1">
        <v>107.2</v>
      </c>
      <c r="R6" s="1">
        <v>106</v>
      </c>
      <c r="S6" s="1">
        <v>106.6</v>
      </c>
      <c r="T6" s="1">
        <v>105.5</v>
      </c>
      <c r="U6" s="1">
        <v>106.4</v>
      </c>
      <c r="V6" s="1">
        <v>100.4</v>
      </c>
      <c r="W6" s="1">
        <v>105.7</v>
      </c>
      <c r="X6" s="1">
        <v>105.2</v>
      </c>
      <c r="Y6" s="1">
        <v>104.7</v>
      </c>
      <c r="Z6" s="1">
        <v>104.4</v>
      </c>
      <c r="AA6" s="1">
        <v>103.3</v>
      </c>
      <c r="AB6" s="1">
        <v>103.7</v>
      </c>
      <c r="AC6" s="1">
        <v>104.3</v>
      </c>
      <c r="AD6" s="1">
        <v>104.3</v>
      </c>
      <c r="AE6" s="1">
        <v>104.7</v>
      </c>
      <c r="AF6" s="6">
        <f t="shared" si="0"/>
        <v>106.96923076923078</v>
      </c>
      <c r="AG6" s="6">
        <f t="shared" si="1"/>
        <v>104.53333333333335</v>
      </c>
      <c r="AH6" s="6">
        <f t="shared" si="2"/>
        <v>106.16666666666667</v>
      </c>
      <c r="AI6" s="6">
        <f t="shared" si="3"/>
        <v>103.88000000000002</v>
      </c>
      <c r="AJ6" s="6">
        <f>IFERROR(AVERAGE(Main[[#This Row],[Health]],Main[[#This Row],[Personal care and effects]]),"NA")</f>
        <v>104.5</v>
      </c>
    </row>
    <row r="7" spans="1:36" ht="13.2" x14ac:dyDescent="0.25">
      <c r="A7" s="1" t="s">
        <v>40</v>
      </c>
      <c r="B7" s="1">
        <v>2013</v>
      </c>
      <c r="C7" s="1" t="s">
        <v>41</v>
      </c>
      <c r="D7" s="8">
        <f>DATEVALUE(Main[[#This Row],[Month]]&amp;Main[[#This Row],[Year]])</f>
        <v>41306</v>
      </c>
      <c r="E7" s="1">
        <v>110.4</v>
      </c>
      <c r="F7" s="1">
        <v>110.2</v>
      </c>
      <c r="G7" s="1">
        <v>112.8</v>
      </c>
      <c r="H7" s="1">
        <v>104.9</v>
      </c>
      <c r="I7" s="1">
        <v>105.5</v>
      </c>
      <c r="J7" s="1">
        <v>103.6</v>
      </c>
      <c r="K7" s="1">
        <v>103.2</v>
      </c>
      <c r="L7" s="1">
        <v>105.3</v>
      </c>
      <c r="M7" s="1">
        <v>105.1</v>
      </c>
      <c r="N7" s="1">
        <v>102.8</v>
      </c>
      <c r="O7" s="1">
        <v>105.5</v>
      </c>
      <c r="P7" s="1">
        <v>108.3</v>
      </c>
      <c r="Q7" s="1">
        <v>106.6</v>
      </c>
      <c r="R7" s="1">
        <v>105.7</v>
      </c>
      <c r="S7" s="1">
        <v>106.9</v>
      </c>
      <c r="T7" s="1">
        <v>106</v>
      </c>
      <c r="U7" s="1">
        <v>106.8</v>
      </c>
      <c r="V7" s="1">
        <v>100.4</v>
      </c>
      <c r="W7" s="1">
        <v>106</v>
      </c>
      <c r="X7" s="1">
        <v>105.2</v>
      </c>
      <c r="Y7" s="1">
        <v>104.5</v>
      </c>
      <c r="Z7" s="1">
        <v>104.2</v>
      </c>
      <c r="AA7" s="1">
        <v>103.6</v>
      </c>
      <c r="AB7" s="1">
        <v>103.9</v>
      </c>
      <c r="AC7" s="1">
        <v>104.5</v>
      </c>
      <c r="AD7" s="1">
        <v>104.4</v>
      </c>
      <c r="AE7" s="1">
        <v>105.3</v>
      </c>
      <c r="AF7" s="6">
        <f t="shared" si="0"/>
        <v>106.47692307692309</v>
      </c>
      <c r="AG7" s="6">
        <f t="shared" si="1"/>
        <v>104.56666666666668</v>
      </c>
      <c r="AH7" s="6">
        <f t="shared" si="2"/>
        <v>106.56666666666666</v>
      </c>
      <c r="AI7" s="6">
        <f t="shared" si="3"/>
        <v>103.94000000000001</v>
      </c>
      <c r="AJ7" s="6">
        <f>IFERROR(AVERAGE(Main[[#This Row],[Health]],Main[[#This Row],[Personal care and effects]]),"NA")</f>
        <v>104.5</v>
      </c>
    </row>
    <row r="8" spans="1:36" ht="13.2" x14ac:dyDescent="0.25">
      <c r="A8" s="1" t="s">
        <v>36</v>
      </c>
      <c r="B8" s="1">
        <v>2013</v>
      </c>
      <c r="C8" s="1" t="s">
        <v>42</v>
      </c>
      <c r="D8" s="8">
        <f>DATEVALUE(Main[[#This Row],[Month]]&amp;Main[[#This Row],[Year]])</f>
        <v>41334</v>
      </c>
      <c r="E8" s="1">
        <v>110.2</v>
      </c>
      <c r="F8" s="1">
        <v>108.8</v>
      </c>
      <c r="G8" s="1">
        <v>109.9</v>
      </c>
      <c r="H8" s="1">
        <v>105.6</v>
      </c>
      <c r="I8" s="1">
        <v>106.2</v>
      </c>
      <c r="J8" s="1">
        <v>105.7</v>
      </c>
      <c r="K8" s="1">
        <v>101.4</v>
      </c>
      <c r="L8" s="1">
        <v>105.7</v>
      </c>
      <c r="M8" s="1">
        <v>105</v>
      </c>
      <c r="N8" s="1">
        <v>103.3</v>
      </c>
      <c r="O8" s="1">
        <v>105.6</v>
      </c>
      <c r="P8" s="1">
        <v>108.2</v>
      </c>
      <c r="Q8" s="1">
        <v>106.6</v>
      </c>
      <c r="R8" s="1">
        <v>106.5</v>
      </c>
      <c r="S8" s="1">
        <v>107.6</v>
      </c>
      <c r="T8" s="1">
        <v>106.8</v>
      </c>
      <c r="U8" s="1">
        <v>107.5</v>
      </c>
      <c r="V8" s="1" t="s">
        <v>38</v>
      </c>
      <c r="W8" s="1">
        <v>106.1</v>
      </c>
      <c r="X8" s="1">
        <v>105.6</v>
      </c>
      <c r="Y8" s="1">
        <v>104.7</v>
      </c>
      <c r="Z8" s="1">
        <v>104.6</v>
      </c>
      <c r="AA8" s="1">
        <v>104</v>
      </c>
      <c r="AB8" s="1">
        <v>104.3</v>
      </c>
      <c r="AC8" s="1">
        <v>104.3</v>
      </c>
      <c r="AD8" s="1">
        <v>104.6</v>
      </c>
      <c r="AE8" s="1">
        <v>106</v>
      </c>
      <c r="AF8" s="6">
        <f t="shared" si="0"/>
        <v>106.32307692307693</v>
      </c>
      <c r="AG8" s="6">
        <f t="shared" si="1"/>
        <v>105.03333333333335</v>
      </c>
      <c r="AH8" s="6">
        <f t="shared" si="2"/>
        <v>107.3</v>
      </c>
      <c r="AI8" s="6">
        <f t="shared" si="3"/>
        <v>105.14999999999999</v>
      </c>
      <c r="AJ8" s="6">
        <f>IFERROR(AVERAGE(Main[[#This Row],[Health]],Main[[#This Row],[Personal care and effects]]),"NA")</f>
        <v>104.5</v>
      </c>
    </row>
    <row r="9" spans="1:36" ht="13.2" x14ac:dyDescent="0.25">
      <c r="A9" s="1" t="s">
        <v>39</v>
      </c>
      <c r="B9" s="1">
        <v>2013</v>
      </c>
      <c r="C9" s="1" t="s">
        <v>42</v>
      </c>
      <c r="D9" s="8">
        <f>DATEVALUE(Main[[#This Row],[Month]]&amp;Main[[#This Row],[Year]])</f>
        <v>41334</v>
      </c>
      <c r="E9" s="1">
        <v>113.9</v>
      </c>
      <c r="F9" s="1">
        <v>111.4</v>
      </c>
      <c r="G9" s="1">
        <v>113.2</v>
      </c>
      <c r="H9" s="1">
        <v>104.3</v>
      </c>
      <c r="I9" s="1">
        <v>102.7</v>
      </c>
      <c r="J9" s="1">
        <v>104.9</v>
      </c>
      <c r="K9" s="1">
        <v>103.8</v>
      </c>
      <c r="L9" s="1">
        <v>103.5</v>
      </c>
      <c r="M9" s="1">
        <v>102.6</v>
      </c>
      <c r="N9" s="1">
        <v>102.4</v>
      </c>
      <c r="O9" s="1">
        <v>107</v>
      </c>
      <c r="P9" s="1">
        <v>109.8</v>
      </c>
      <c r="Q9" s="1">
        <v>107.3</v>
      </c>
      <c r="R9" s="1">
        <v>106.8</v>
      </c>
      <c r="S9" s="1">
        <v>107.2</v>
      </c>
      <c r="T9" s="1">
        <v>106</v>
      </c>
      <c r="U9" s="1">
        <v>107</v>
      </c>
      <c r="V9" s="1">
        <v>100.4</v>
      </c>
      <c r="W9" s="1">
        <v>106</v>
      </c>
      <c r="X9" s="1">
        <v>105.7</v>
      </c>
      <c r="Y9" s="1">
        <v>105.2</v>
      </c>
      <c r="Z9" s="1">
        <v>105.5</v>
      </c>
      <c r="AA9" s="1">
        <v>103.5</v>
      </c>
      <c r="AB9" s="1">
        <v>103.8</v>
      </c>
      <c r="AC9" s="1">
        <v>104.2</v>
      </c>
      <c r="AD9" s="1">
        <v>104.9</v>
      </c>
      <c r="AE9" s="1">
        <v>105</v>
      </c>
      <c r="AF9" s="6">
        <f t="shared" si="0"/>
        <v>106.67692307692307</v>
      </c>
      <c r="AG9" s="6">
        <f t="shared" si="1"/>
        <v>105.06666666666668</v>
      </c>
      <c r="AH9" s="6">
        <f t="shared" si="2"/>
        <v>106.73333333333333</v>
      </c>
      <c r="AI9" s="6">
        <f t="shared" si="3"/>
        <v>104.28</v>
      </c>
      <c r="AJ9" s="6">
        <f>IFERROR(AVERAGE(Main[[#This Row],[Health]],Main[[#This Row],[Personal care and effects]]),"NA")</f>
        <v>104.7</v>
      </c>
    </row>
    <row r="10" spans="1:36" ht="13.2" x14ac:dyDescent="0.25">
      <c r="A10" s="1" t="s">
        <v>40</v>
      </c>
      <c r="B10" s="1">
        <v>2013</v>
      </c>
      <c r="C10" s="1" t="s">
        <v>42</v>
      </c>
      <c r="D10" s="8">
        <f>DATEVALUE(Main[[#This Row],[Month]]&amp;Main[[#This Row],[Year]])</f>
        <v>41334</v>
      </c>
      <c r="E10" s="1">
        <v>111.4</v>
      </c>
      <c r="F10" s="1">
        <v>109.7</v>
      </c>
      <c r="G10" s="1">
        <v>111.2</v>
      </c>
      <c r="H10" s="1">
        <v>105.1</v>
      </c>
      <c r="I10" s="1">
        <v>104.9</v>
      </c>
      <c r="J10" s="1">
        <v>105.3</v>
      </c>
      <c r="K10" s="1">
        <v>102.2</v>
      </c>
      <c r="L10" s="1">
        <v>105</v>
      </c>
      <c r="M10" s="1">
        <v>104.2</v>
      </c>
      <c r="N10" s="1">
        <v>103</v>
      </c>
      <c r="O10" s="1">
        <v>106.2</v>
      </c>
      <c r="P10" s="1">
        <v>108.9</v>
      </c>
      <c r="Q10" s="1">
        <v>106.9</v>
      </c>
      <c r="R10" s="1">
        <v>106.6</v>
      </c>
      <c r="S10" s="1">
        <v>107.4</v>
      </c>
      <c r="T10" s="1">
        <v>106.5</v>
      </c>
      <c r="U10" s="1">
        <v>107.3</v>
      </c>
      <c r="V10" s="1">
        <v>100.4</v>
      </c>
      <c r="W10" s="1">
        <v>106.1</v>
      </c>
      <c r="X10" s="1">
        <v>105.6</v>
      </c>
      <c r="Y10" s="1">
        <v>104.9</v>
      </c>
      <c r="Z10" s="1">
        <v>105.1</v>
      </c>
      <c r="AA10" s="1">
        <v>103.7</v>
      </c>
      <c r="AB10" s="1">
        <v>104</v>
      </c>
      <c r="AC10" s="1">
        <v>104.3</v>
      </c>
      <c r="AD10" s="1">
        <v>104.7</v>
      </c>
      <c r="AE10" s="1">
        <v>105.5</v>
      </c>
      <c r="AF10" s="6">
        <f t="shared" si="0"/>
        <v>106.46153846153848</v>
      </c>
      <c r="AG10" s="6">
        <f t="shared" si="1"/>
        <v>105</v>
      </c>
      <c r="AH10" s="6">
        <f t="shared" si="2"/>
        <v>107.06666666666666</v>
      </c>
      <c r="AI10" s="6">
        <f t="shared" si="3"/>
        <v>104.24000000000001</v>
      </c>
      <c r="AJ10" s="6">
        <f>IFERROR(AVERAGE(Main[[#This Row],[Health]],Main[[#This Row],[Personal care and effects]]),"NA")</f>
        <v>104.6</v>
      </c>
    </row>
    <row r="11" spans="1:36" ht="13.2" x14ac:dyDescent="0.25">
      <c r="A11" s="1" t="s">
        <v>36</v>
      </c>
      <c r="B11" s="1">
        <v>2013</v>
      </c>
      <c r="C11" s="1" t="s">
        <v>43</v>
      </c>
      <c r="D11" s="8">
        <f>DATEVALUE(Main[[#This Row],[Month]]&amp;Main[[#This Row],[Year]])</f>
        <v>41365</v>
      </c>
      <c r="E11" s="1">
        <v>110.2</v>
      </c>
      <c r="F11" s="1">
        <v>109.5</v>
      </c>
      <c r="G11" s="1">
        <v>106.9</v>
      </c>
      <c r="H11" s="1">
        <v>106.3</v>
      </c>
      <c r="I11" s="1">
        <v>105.7</v>
      </c>
      <c r="J11" s="1">
        <v>108.3</v>
      </c>
      <c r="K11" s="1">
        <v>103.4</v>
      </c>
      <c r="L11" s="1">
        <v>105.7</v>
      </c>
      <c r="M11" s="1">
        <v>104.2</v>
      </c>
      <c r="N11" s="1">
        <v>103.2</v>
      </c>
      <c r="O11" s="1">
        <v>106.5</v>
      </c>
      <c r="P11" s="1">
        <v>108.8</v>
      </c>
      <c r="Q11" s="1">
        <v>107.1</v>
      </c>
      <c r="R11" s="1">
        <v>107.1</v>
      </c>
      <c r="S11" s="1">
        <v>108.1</v>
      </c>
      <c r="T11" s="1">
        <v>107.4</v>
      </c>
      <c r="U11" s="1">
        <v>108</v>
      </c>
      <c r="V11" s="1" t="s">
        <v>38</v>
      </c>
      <c r="W11" s="1">
        <v>106.5</v>
      </c>
      <c r="X11" s="1">
        <v>106.1</v>
      </c>
      <c r="Y11" s="1">
        <v>105.1</v>
      </c>
      <c r="Z11" s="1">
        <v>104.4</v>
      </c>
      <c r="AA11" s="1">
        <v>104.5</v>
      </c>
      <c r="AB11" s="1">
        <v>104.8</v>
      </c>
      <c r="AC11" s="1">
        <v>102.7</v>
      </c>
      <c r="AD11" s="1">
        <v>104.6</v>
      </c>
      <c r="AE11" s="1">
        <v>106.4</v>
      </c>
      <c r="AF11" s="6">
        <f t="shared" si="0"/>
        <v>106.6</v>
      </c>
      <c r="AG11" s="6">
        <f t="shared" si="1"/>
        <v>105.39999999999999</v>
      </c>
      <c r="AH11" s="6">
        <f t="shared" si="2"/>
        <v>107.83333333333333</v>
      </c>
      <c r="AI11" s="6">
        <f t="shared" si="3"/>
        <v>105.45</v>
      </c>
      <c r="AJ11" s="6">
        <f>IFERROR(AVERAGE(Main[[#This Row],[Health]],Main[[#This Row],[Personal care and effects]]),"NA")</f>
        <v>103.9</v>
      </c>
    </row>
    <row r="12" spans="1:36" ht="13.2" x14ac:dyDescent="0.25">
      <c r="A12" s="1" t="s">
        <v>39</v>
      </c>
      <c r="B12" s="1">
        <v>2013</v>
      </c>
      <c r="C12" s="1" t="s">
        <v>43</v>
      </c>
      <c r="D12" s="8">
        <f>DATEVALUE(Main[[#This Row],[Month]]&amp;Main[[#This Row],[Year]])</f>
        <v>41365</v>
      </c>
      <c r="E12" s="1">
        <v>114.6</v>
      </c>
      <c r="F12" s="1">
        <v>113.4</v>
      </c>
      <c r="G12" s="1">
        <v>106</v>
      </c>
      <c r="H12" s="1">
        <v>104.7</v>
      </c>
      <c r="I12" s="1">
        <v>102.1</v>
      </c>
      <c r="J12" s="1">
        <v>109.5</v>
      </c>
      <c r="K12" s="1">
        <v>109.7</v>
      </c>
      <c r="L12" s="1">
        <v>104.6</v>
      </c>
      <c r="M12" s="1">
        <v>102</v>
      </c>
      <c r="N12" s="1">
        <v>103.5</v>
      </c>
      <c r="O12" s="1">
        <v>108.2</v>
      </c>
      <c r="P12" s="1">
        <v>110.6</v>
      </c>
      <c r="Q12" s="1">
        <v>108.8</v>
      </c>
      <c r="R12" s="1">
        <v>108.5</v>
      </c>
      <c r="S12" s="1">
        <v>107.9</v>
      </c>
      <c r="T12" s="1">
        <v>106.4</v>
      </c>
      <c r="U12" s="1">
        <v>107.7</v>
      </c>
      <c r="V12" s="1">
        <v>100.5</v>
      </c>
      <c r="W12" s="1">
        <v>106.4</v>
      </c>
      <c r="X12" s="1">
        <v>106.5</v>
      </c>
      <c r="Y12" s="1">
        <v>105.7</v>
      </c>
      <c r="Z12" s="1">
        <v>105</v>
      </c>
      <c r="AA12" s="1">
        <v>104</v>
      </c>
      <c r="AB12" s="1">
        <v>105.2</v>
      </c>
      <c r="AC12" s="1">
        <v>103.2</v>
      </c>
      <c r="AD12" s="1">
        <v>105.1</v>
      </c>
      <c r="AE12" s="1">
        <v>105.7</v>
      </c>
      <c r="AF12" s="6">
        <f t="shared" si="0"/>
        <v>107.5153846153846</v>
      </c>
      <c r="AG12" s="6">
        <f t="shared" si="1"/>
        <v>105.86666666666667</v>
      </c>
      <c r="AH12" s="6">
        <f t="shared" si="2"/>
        <v>107.33333333333333</v>
      </c>
      <c r="AI12" s="6">
        <f t="shared" si="3"/>
        <v>104.72</v>
      </c>
      <c r="AJ12" s="6">
        <f>IFERROR(AVERAGE(Main[[#This Row],[Health]],Main[[#This Row],[Personal care and effects]]),"NA")</f>
        <v>104.45</v>
      </c>
    </row>
    <row r="13" spans="1:36" ht="13.2" x14ac:dyDescent="0.25">
      <c r="A13" s="1" t="s">
        <v>40</v>
      </c>
      <c r="B13" s="1">
        <v>2013</v>
      </c>
      <c r="C13" s="1" t="s">
        <v>43</v>
      </c>
      <c r="D13" s="8">
        <f>DATEVALUE(Main[[#This Row],[Month]]&amp;Main[[#This Row],[Year]])</f>
        <v>41365</v>
      </c>
      <c r="E13" s="1">
        <v>111.6</v>
      </c>
      <c r="F13" s="1">
        <v>110.9</v>
      </c>
      <c r="G13" s="1">
        <v>106.6</v>
      </c>
      <c r="H13" s="1">
        <v>105.7</v>
      </c>
      <c r="I13" s="1">
        <v>104.4</v>
      </c>
      <c r="J13" s="1">
        <v>108.9</v>
      </c>
      <c r="K13" s="1">
        <v>105.5</v>
      </c>
      <c r="L13" s="1">
        <v>105.3</v>
      </c>
      <c r="M13" s="1">
        <v>103.5</v>
      </c>
      <c r="N13" s="1">
        <v>103.3</v>
      </c>
      <c r="O13" s="1">
        <v>107.2</v>
      </c>
      <c r="P13" s="1">
        <v>109.6</v>
      </c>
      <c r="Q13" s="1">
        <v>107.7</v>
      </c>
      <c r="R13" s="1">
        <v>107.5</v>
      </c>
      <c r="S13" s="1">
        <v>108</v>
      </c>
      <c r="T13" s="1">
        <v>107</v>
      </c>
      <c r="U13" s="1">
        <v>107.9</v>
      </c>
      <c r="V13" s="1">
        <v>100.5</v>
      </c>
      <c r="W13" s="1">
        <v>106.5</v>
      </c>
      <c r="X13" s="1">
        <v>106.3</v>
      </c>
      <c r="Y13" s="1">
        <v>105.3</v>
      </c>
      <c r="Z13" s="1">
        <v>104.7</v>
      </c>
      <c r="AA13" s="1">
        <v>104.2</v>
      </c>
      <c r="AB13" s="1">
        <v>105</v>
      </c>
      <c r="AC13" s="1">
        <v>102.9</v>
      </c>
      <c r="AD13" s="1">
        <v>104.8</v>
      </c>
      <c r="AE13" s="1">
        <v>106.1</v>
      </c>
      <c r="AF13" s="6">
        <f t="shared" si="0"/>
        <v>106.93846153846154</v>
      </c>
      <c r="AG13" s="6">
        <f t="shared" si="1"/>
        <v>105.5</v>
      </c>
      <c r="AH13" s="6">
        <f t="shared" si="2"/>
        <v>107.63333333333333</v>
      </c>
      <c r="AI13" s="6">
        <f t="shared" si="3"/>
        <v>104.6</v>
      </c>
      <c r="AJ13" s="6">
        <f>IFERROR(AVERAGE(Main[[#This Row],[Health]],Main[[#This Row],[Personal care and effects]]),"NA")</f>
        <v>104.1</v>
      </c>
    </row>
    <row r="14" spans="1:36" ht="13.2" x14ac:dyDescent="0.25">
      <c r="A14" s="1" t="s">
        <v>36</v>
      </c>
      <c r="B14" s="1">
        <v>2013</v>
      </c>
      <c r="C14" s="1" t="s">
        <v>44</v>
      </c>
      <c r="D14" s="8">
        <f>DATEVALUE(Main[[#This Row],[Month]]&amp;Main[[#This Row],[Year]])</f>
        <v>41395</v>
      </c>
      <c r="E14" s="1">
        <v>110.9</v>
      </c>
      <c r="F14" s="1">
        <v>109.8</v>
      </c>
      <c r="G14" s="1">
        <v>105.9</v>
      </c>
      <c r="H14" s="1">
        <v>107.5</v>
      </c>
      <c r="I14" s="1">
        <v>105.3</v>
      </c>
      <c r="J14" s="1">
        <v>108.1</v>
      </c>
      <c r="K14" s="1">
        <v>107.3</v>
      </c>
      <c r="L14" s="1">
        <v>106.1</v>
      </c>
      <c r="M14" s="1">
        <v>103.7</v>
      </c>
      <c r="N14" s="1">
        <v>104</v>
      </c>
      <c r="O14" s="1">
        <v>107.4</v>
      </c>
      <c r="P14" s="1">
        <v>109.9</v>
      </c>
      <c r="Q14" s="1">
        <v>108.1</v>
      </c>
      <c r="R14" s="1">
        <v>108.1</v>
      </c>
      <c r="S14" s="1">
        <v>108.8</v>
      </c>
      <c r="T14" s="1">
        <v>107.9</v>
      </c>
      <c r="U14" s="1">
        <v>108.6</v>
      </c>
      <c r="V14" s="1" t="s">
        <v>38</v>
      </c>
      <c r="W14" s="1">
        <v>107.5</v>
      </c>
      <c r="X14" s="1">
        <v>106.8</v>
      </c>
      <c r="Y14" s="1">
        <v>105.7</v>
      </c>
      <c r="Z14" s="1">
        <v>104.1</v>
      </c>
      <c r="AA14" s="1">
        <v>105</v>
      </c>
      <c r="AB14" s="1">
        <v>105.5</v>
      </c>
      <c r="AC14" s="1">
        <v>102.1</v>
      </c>
      <c r="AD14" s="1">
        <v>104.8</v>
      </c>
      <c r="AE14" s="1">
        <v>107.2</v>
      </c>
      <c r="AF14" s="6">
        <f t="shared" si="0"/>
        <v>107.23076923076923</v>
      </c>
      <c r="AG14" s="6">
        <f t="shared" si="1"/>
        <v>105.96666666666665</v>
      </c>
      <c r="AH14" s="6">
        <f t="shared" si="2"/>
        <v>108.43333333333332</v>
      </c>
      <c r="AI14" s="6">
        <f t="shared" si="3"/>
        <v>105.97499999999999</v>
      </c>
      <c r="AJ14" s="6">
        <f>IFERROR(AVERAGE(Main[[#This Row],[Health]],Main[[#This Row],[Personal care and effects]]),"NA")</f>
        <v>103.9</v>
      </c>
    </row>
    <row r="15" spans="1:36" ht="13.2" x14ac:dyDescent="0.25">
      <c r="A15" s="1" t="s">
        <v>39</v>
      </c>
      <c r="B15" s="1">
        <v>2013</v>
      </c>
      <c r="C15" s="1" t="s">
        <v>44</v>
      </c>
      <c r="D15" s="8">
        <f>DATEVALUE(Main[[#This Row],[Month]]&amp;Main[[#This Row],[Year]])</f>
        <v>41395</v>
      </c>
      <c r="E15" s="1">
        <v>115.4</v>
      </c>
      <c r="F15" s="1">
        <v>114.2</v>
      </c>
      <c r="G15" s="1">
        <v>102.7</v>
      </c>
      <c r="H15" s="1">
        <v>105.5</v>
      </c>
      <c r="I15" s="1">
        <v>101.5</v>
      </c>
      <c r="J15" s="1">
        <v>110.6</v>
      </c>
      <c r="K15" s="1">
        <v>123.7</v>
      </c>
      <c r="L15" s="1">
        <v>105.2</v>
      </c>
      <c r="M15" s="1">
        <v>101.9</v>
      </c>
      <c r="N15" s="1">
        <v>105</v>
      </c>
      <c r="O15" s="1">
        <v>109.1</v>
      </c>
      <c r="P15" s="1">
        <v>111.3</v>
      </c>
      <c r="Q15" s="1">
        <v>111.1</v>
      </c>
      <c r="R15" s="1">
        <v>109.8</v>
      </c>
      <c r="S15" s="1">
        <v>108.5</v>
      </c>
      <c r="T15" s="1">
        <v>106.7</v>
      </c>
      <c r="U15" s="1">
        <v>108.3</v>
      </c>
      <c r="V15" s="1">
        <v>100.5</v>
      </c>
      <c r="W15" s="1">
        <v>107.2</v>
      </c>
      <c r="X15" s="1">
        <v>107.1</v>
      </c>
      <c r="Y15" s="1">
        <v>106.2</v>
      </c>
      <c r="Z15" s="1">
        <v>103.9</v>
      </c>
      <c r="AA15" s="1">
        <v>104.6</v>
      </c>
      <c r="AB15" s="1">
        <v>105.7</v>
      </c>
      <c r="AC15" s="1">
        <v>102.6</v>
      </c>
      <c r="AD15" s="1">
        <v>104.9</v>
      </c>
      <c r="AE15" s="1">
        <v>106.6</v>
      </c>
      <c r="AF15" s="6">
        <f t="shared" si="0"/>
        <v>109.0153846153846</v>
      </c>
      <c r="AG15" s="6">
        <f t="shared" si="1"/>
        <v>106.43333333333332</v>
      </c>
      <c r="AH15" s="6">
        <f t="shared" si="2"/>
        <v>107.83333333333333</v>
      </c>
      <c r="AI15" s="6">
        <f t="shared" si="3"/>
        <v>104.88</v>
      </c>
      <c r="AJ15" s="6">
        <f>IFERROR(AVERAGE(Main[[#This Row],[Health]],Main[[#This Row],[Personal care and effects]]),"NA")</f>
        <v>104.4</v>
      </c>
    </row>
    <row r="16" spans="1:36" ht="13.2" x14ac:dyDescent="0.25">
      <c r="A16" s="1" t="s">
        <v>40</v>
      </c>
      <c r="B16" s="1">
        <v>2013</v>
      </c>
      <c r="C16" s="1" t="s">
        <v>44</v>
      </c>
      <c r="D16" s="8">
        <f>DATEVALUE(Main[[#This Row],[Month]]&amp;Main[[#This Row],[Year]])</f>
        <v>41395</v>
      </c>
      <c r="E16" s="1">
        <v>112.3</v>
      </c>
      <c r="F16" s="1">
        <v>111.3</v>
      </c>
      <c r="G16" s="1">
        <v>104.7</v>
      </c>
      <c r="H16" s="1">
        <v>106.8</v>
      </c>
      <c r="I16" s="1">
        <v>103.9</v>
      </c>
      <c r="J16" s="1">
        <v>109.3</v>
      </c>
      <c r="K16" s="1">
        <v>112.9</v>
      </c>
      <c r="L16" s="1">
        <v>105.8</v>
      </c>
      <c r="M16" s="1">
        <v>103.1</v>
      </c>
      <c r="N16" s="1">
        <v>104.3</v>
      </c>
      <c r="O16" s="1">
        <v>108.1</v>
      </c>
      <c r="P16" s="1">
        <v>110.5</v>
      </c>
      <c r="Q16" s="1">
        <v>109.2</v>
      </c>
      <c r="R16" s="1">
        <v>108.6</v>
      </c>
      <c r="S16" s="1">
        <v>108.7</v>
      </c>
      <c r="T16" s="1">
        <v>107.4</v>
      </c>
      <c r="U16" s="1">
        <v>108.5</v>
      </c>
      <c r="V16" s="1">
        <v>100.5</v>
      </c>
      <c r="W16" s="1">
        <v>107.4</v>
      </c>
      <c r="X16" s="1">
        <v>106.9</v>
      </c>
      <c r="Y16" s="1">
        <v>105.9</v>
      </c>
      <c r="Z16" s="1">
        <v>104</v>
      </c>
      <c r="AA16" s="1">
        <v>104.8</v>
      </c>
      <c r="AB16" s="1">
        <v>105.6</v>
      </c>
      <c r="AC16" s="1">
        <v>102.3</v>
      </c>
      <c r="AD16" s="1">
        <v>104.8</v>
      </c>
      <c r="AE16" s="1">
        <v>106.9</v>
      </c>
      <c r="AF16" s="6">
        <f t="shared" si="0"/>
        <v>107.86153846153844</v>
      </c>
      <c r="AG16" s="6">
        <f t="shared" si="1"/>
        <v>106.06666666666666</v>
      </c>
      <c r="AH16" s="6">
        <f t="shared" si="2"/>
        <v>108.2</v>
      </c>
      <c r="AI16" s="6">
        <f t="shared" si="3"/>
        <v>104.88</v>
      </c>
      <c r="AJ16" s="6">
        <f>IFERROR(AVERAGE(Main[[#This Row],[Health]],Main[[#This Row],[Personal care and effects]]),"NA")</f>
        <v>104.1</v>
      </c>
    </row>
    <row r="17" spans="1:36" ht="13.2" x14ac:dyDescent="0.25">
      <c r="A17" s="1" t="s">
        <v>36</v>
      </c>
      <c r="B17" s="1">
        <v>2013</v>
      </c>
      <c r="C17" s="1" t="s">
        <v>45</v>
      </c>
      <c r="D17" s="8">
        <f>DATEVALUE(Main[[#This Row],[Month]]&amp;Main[[#This Row],[Year]])</f>
        <v>41426</v>
      </c>
      <c r="E17" s="1">
        <v>112.3</v>
      </c>
      <c r="F17" s="1">
        <v>112.1</v>
      </c>
      <c r="G17" s="1">
        <v>108.1</v>
      </c>
      <c r="H17" s="1">
        <v>108.3</v>
      </c>
      <c r="I17" s="1">
        <v>105.9</v>
      </c>
      <c r="J17" s="1">
        <v>109.2</v>
      </c>
      <c r="K17" s="1">
        <v>118</v>
      </c>
      <c r="L17" s="1">
        <v>106.8</v>
      </c>
      <c r="M17" s="1">
        <v>104.1</v>
      </c>
      <c r="N17" s="1">
        <v>105.4</v>
      </c>
      <c r="O17" s="1">
        <v>108.2</v>
      </c>
      <c r="P17" s="1">
        <v>111</v>
      </c>
      <c r="Q17" s="1">
        <v>110.6</v>
      </c>
      <c r="R17" s="1">
        <v>109</v>
      </c>
      <c r="S17" s="1">
        <v>109.7</v>
      </c>
      <c r="T17" s="1">
        <v>108.8</v>
      </c>
      <c r="U17" s="1">
        <v>109.5</v>
      </c>
      <c r="V17" s="1" t="s">
        <v>38</v>
      </c>
      <c r="W17" s="1">
        <v>108.5</v>
      </c>
      <c r="X17" s="1">
        <v>107.5</v>
      </c>
      <c r="Y17" s="1">
        <v>106.3</v>
      </c>
      <c r="Z17" s="1">
        <v>105</v>
      </c>
      <c r="AA17" s="1">
        <v>105.6</v>
      </c>
      <c r="AB17" s="1">
        <v>106.5</v>
      </c>
      <c r="AC17" s="1">
        <v>102.5</v>
      </c>
      <c r="AD17" s="1">
        <v>105.5</v>
      </c>
      <c r="AE17" s="1">
        <v>108.9</v>
      </c>
      <c r="AF17" s="6">
        <f t="shared" si="0"/>
        <v>109.23076923076923</v>
      </c>
      <c r="AG17" s="6">
        <f t="shared" si="1"/>
        <v>106.7</v>
      </c>
      <c r="AH17" s="6">
        <f t="shared" si="2"/>
        <v>109.33333333333333</v>
      </c>
      <c r="AI17" s="6">
        <f t="shared" si="3"/>
        <v>106.875</v>
      </c>
      <c r="AJ17" s="6">
        <f>IFERROR(AVERAGE(Main[[#This Row],[Health]],Main[[#This Row],[Personal care and effects]]),"NA")</f>
        <v>104.4</v>
      </c>
    </row>
    <row r="18" spans="1:36" ht="13.2" x14ac:dyDescent="0.25">
      <c r="A18" s="1" t="s">
        <v>39</v>
      </c>
      <c r="B18" s="1">
        <v>2013</v>
      </c>
      <c r="C18" s="1" t="s">
        <v>45</v>
      </c>
      <c r="D18" s="8">
        <f>DATEVALUE(Main[[#This Row],[Month]]&amp;Main[[#This Row],[Year]])</f>
        <v>41426</v>
      </c>
      <c r="E18" s="1">
        <v>117</v>
      </c>
      <c r="F18" s="1">
        <v>120.1</v>
      </c>
      <c r="G18" s="1">
        <v>112.5</v>
      </c>
      <c r="H18" s="1">
        <v>107.3</v>
      </c>
      <c r="I18" s="1">
        <v>101.3</v>
      </c>
      <c r="J18" s="1">
        <v>112.4</v>
      </c>
      <c r="K18" s="1">
        <v>143.6</v>
      </c>
      <c r="L18" s="1">
        <v>105.4</v>
      </c>
      <c r="M18" s="1">
        <v>101.4</v>
      </c>
      <c r="N18" s="1">
        <v>106.4</v>
      </c>
      <c r="O18" s="1">
        <v>110</v>
      </c>
      <c r="P18" s="1">
        <v>112.2</v>
      </c>
      <c r="Q18" s="1">
        <v>115</v>
      </c>
      <c r="R18" s="1">
        <v>110.9</v>
      </c>
      <c r="S18" s="1">
        <v>109.2</v>
      </c>
      <c r="T18" s="1">
        <v>107.2</v>
      </c>
      <c r="U18" s="1">
        <v>108.9</v>
      </c>
      <c r="V18" s="1">
        <v>106.6</v>
      </c>
      <c r="W18" s="1">
        <v>108</v>
      </c>
      <c r="X18" s="1">
        <v>107.7</v>
      </c>
      <c r="Y18" s="1">
        <v>106.5</v>
      </c>
      <c r="Z18" s="1">
        <v>105.2</v>
      </c>
      <c r="AA18" s="1">
        <v>105.2</v>
      </c>
      <c r="AB18" s="1">
        <v>108.1</v>
      </c>
      <c r="AC18" s="1">
        <v>103.3</v>
      </c>
      <c r="AD18" s="1">
        <v>106.1</v>
      </c>
      <c r="AE18" s="1">
        <v>109.7</v>
      </c>
      <c r="AF18" s="6">
        <f t="shared" si="0"/>
        <v>112.66153846153847</v>
      </c>
      <c r="AG18" s="6">
        <f t="shared" si="1"/>
        <v>107.40000000000002</v>
      </c>
      <c r="AH18" s="6">
        <f t="shared" si="2"/>
        <v>108.43333333333334</v>
      </c>
      <c r="AI18" s="6">
        <f t="shared" si="3"/>
        <v>107.12</v>
      </c>
      <c r="AJ18" s="6">
        <f>IFERROR(AVERAGE(Main[[#This Row],[Health]],Main[[#This Row],[Personal care and effects]]),"NA")</f>
        <v>104.9</v>
      </c>
    </row>
    <row r="19" spans="1:36" ht="13.2" x14ac:dyDescent="0.25">
      <c r="A19" s="1" t="s">
        <v>40</v>
      </c>
      <c r="B19" s="1">
        <v>2013</v>
      </c>
      <c r="C19" s="1" t="s">
        <v>45</v>
      </c>
      <c r="D19" s="8">
        <f>DATEVALUE(Main[[#This Row],[Month]]&amp;Main[[#This Row],[Year]])</f>
        <v>41426</v>
      </c>
      <c r="E19" s="1">
        <v>113.8</v>
      </c>
      <c r="F19" s="1">
        <v>114.9</v>
      </c>
      <c r="G19" s="1">
        <v>109.8</v>
      </c>
      <c r="H19" s="1">
        <v>107.9</v>
      </c>
      <c r="I19" s="1">
        <v>104.2</v>
      </c>
      <c r="J19" s="1">
        <v>110.7</v>
      </c>
      <c r="K19" s="1">
        <v>126.7</v>
      </c>
      <c r="L19" s="1">
        <v>106.3</v>
      </c>
      <c r="M19" s="1">
        <v>103.2</v>
      </c>
      <c r="N19" s="1">
        <v>105.7</v>
      </c>
      <c r="O19" s="1">
        <v>109</v>
      </c>
      <c r="P19" s="1">
        <v>111.6</v>
      </c>
      <c r="Q19" s="1">
        <v>112.2</v>
      </c>
      <c r="R19" s="1">
        <v>109.5</v>
      </c>
      <c r="S19" s="1">
        <v>109.5</v>
      </c>
      <c r="T19" s="1">
        <v>108.1</v>
      </c>
      <c r="U19" s="1">
        <v>109.3</v>
      </c>
      <c r="V19" s="1">
        <v>106.6</v>
      </c>
      <c r="W19" s="1">
        <v>108.3</v>
      </c>
      <c r="X19" s="1">
        <v>107.6</v>
      </c>
      <c r="Y19" s="1">
        <v>106.4</v>
      </c>
      <c r="Z19" s="1">
        <v>105.1</v>
      </c>
      <c r="AA19" s="1">
        <v>105.4</v>
      </c>
      <c r="AB19" s="1">
        <v>107.4</v>
      </c>
      <c r="AC19" s="1">
        <v>102.8</v>
      </c>
      <c r="AD19" s="1">
        <v>105.8</v>
      </c>
      <c r="AE19" s="1">
        <v>109.3</v>
      </c>
      <c r="AF19" s="6">
        <f t="shared" si="0"/>
        <v>110.46153846153847</v>
      </c>
      <c r="AG19" s="6">
        <f t="shared" si="1"/>
        <v>106.89999999999999</v>
      </c>
      <c r="AH19" s="6">
        <f t="shared" si="2"/>
        <v>108.96666666666665</v>
      </c>
      <c r="AI19" s="6">
        <f t="shared" si="3"/>
        <v>107</v>
      </c>
      <c r="AJ19" s="6">
        <f>IFERROR(AVERAGE(Main[[#This Row],[Health]],Main[[#This Row],[Personal care and effects]]),"NA")</f>
        <v>104.6</v>
      </c>
    </row>
    <row r="20" spans="1:36" ht="13.2" x14ac:dyDescent="0.25">
      <c r="A20" s="1" t="s">
        <v>36</v>
      </c>
      <c r="B20" s="1">
        <v>2013</v>
      </c>
      <c r="C20" s="1" t="s">
        <v>46</v>
      </c>
      <c r="D20" s="8">
        <f>DATEVALUE(Main[[#This Row],[Month]]&amp;Main[[#This Row],[Year]])</f>
        <v>41456</v>
      </c>
      <c r="E20" s="1">
        <v>113.4</v>
      </c>
      <c r="F20" s="1">
        <v>114.9</v>
      </c>
      <c r="G20" s="1">
        <v>110.5</v>
      </c>
      <c r="H20" s="1">
        <v>109.3</v>
      </c>
      <c r="I20" s="1">
        <v>106.2</v>
      </c>
      <c r="J20" s="1">
        <v>110.3</v>
      </c>
      <c r="K20" s="1">
        <v>129.19999999999999</v>
      </c>
      <c r="L20" s="1">
        <v>107.1</v>
      </c>
      <c r="M20" s="1">
        <v>104.3</v>
      </c>
      <c r="N20" s="1">
        <v>106.4</v>
      </c>
      <c r="O20" s="1">
        <v>109.1</v>
      </c>
      <c r="P20" s="1">
        <v>112.1</v>
      </c>
      <c r="Q20" s="1">
        <v>113.1</v>
      </c>
      <c r="R20" s="1">
        <v>109.8</v>
      </c>
      <c r="S20" s="1">
        <v>110.5</v>
      </c>
      <c r="T20" s="1">
        <v>109.5</v>
      </c>
      <c r="U20" s="1">
        <v>110.3</v>
      </c>
      <c r="V20" s="1" t="s">
        <v>38</v>
      </c>
      <c r="W20" s="1">
        <v>109.5</v>
      </c>
      <c r="X20" s="1">
        <v>108.3</v>
      </c>
      <c r="Y20" s="1">
        <v>106.9</v>
      </c>
      <c r="Z20" s="1">
        <v>106.8</v>
      </c>
      <c r="AA20" s="1">
        <v>106.4</v>
      </c>
      <c r="AB20" s="1">
        <v>107.8</v>
      </c>
      <c r="AC20" s="1">
        <v>102.5</v>
      </c>
      <c r="AD20" s="1">
        <v>106.5</v>
      </c>
      <c r="AE20" s="1">
        <v>110.7</v>
      </c>
      <c r="AF20" s="6">
        <f t="shared" si="0"/>
        <v>111.22307692307689</v>
      </c>
      <c r="AG20" s="6">
        <f t="shared" si="1"/>
        <v>107.56666666666666</v>
      </c>
      <c r="AH20" s="6">
        <f t="shared" si="2"/>
        <v>110.10000000000001</v>
      </c>
      <c r="AI20" s="6">
        <f t="shared" si="3"/>
        <v>108.10000000000001</v>
      </c>
      <c r="AJ20" s="6">
        <f>IFERROR(AVERAGE(Main[[#This Row],[Health]],Main[[#This Row],[Personal care and effects]]),"NA")</f>
        <v>104.7</v>
      </c>
    </row>
    <row r="21" spans="1:36" ht="13.2" x14ac:dyDescent="0.25">
      <c r="A21" s="1" t="s">
        <v>39</v>
      </c>
      <c r="B21" s="1">
        <v>2013</v>
      </c>
      <c r="C21" s="1" t="s">
        <v>46</v>
      </c>
      <c r="D21" s="8">
        <f>DATEVALUE(Main[[#This Row],[Month]]&amp;Main[[#This Row],[Year]])</f>
        <v>41456</v>
      </c>
      <c r="E21" s="1">
        <v>117.8</v>
      </c>
      <c r="F21" s="1">
        <v>119.2</v>
      </c>
      <c r="G21" s="1">
        <v>114</v>
      </c>
      <c r="H21" s="1">
        <v>108.3</v>
      </c>
      <c r="I21" s="1">
        <v>101.1</v>
      </c>
      <c r="J21" s="1">
        <v>113.2</v>
      </c>
      <c r="K21" s="1">
        <v>160.9</v>
      </c>
      <c r="L21" s="1">
        <v>105.1</v>
      </c>
      <c r="M21" s="1">
        <v>101.3</v>
      </c>
      <c r="N21" s="1">
        <v>107.5</v>
      </c>
      <c r="O21" s="1">
        <v>110.4</v>
      </c>
      <c r="P21" s="1">
        <v>113.1</v>
      </c>
      <c r="Q21" s="1">
        <v>117.5</v>
      </c>
      <c r="R21" s="1">
        <v>111.7</v>
      </c>
      <c r="S21" s="1">
        <v>109.8</v>
      </c>
      <c r="T21" s="1">
        <v>107.8</v>
      </c>
      <c r="U21" s="1">
        <v>109.5</v>
      </c>
      <c r="V21" s="1">
        <v>107.7</v>
      </c>
      <c r="W21" s="1">
        <v>108.6</v>
      </c>
      <c r="X21" s="1">
        <v>108.1</v>
      </c>
      <c r="Y21" s="1">
        <v>107.1</v>
      </c>
      <c r="Z21" s="1">
        <v>107.3</v>
      </c>
      <c r="AA21" s="1">
        <v>105.9</v>
      </c>
      <c r="AB21" s="1">
        <v>110.1</v>
      </c>
      <c r="AC21" s="1">
        <v>103.2</v>
      </c>
      <c r="AD21" s="1">
        <v>107.3</v>
      </c>
      <c r="AE21" s="1">
        <v>111.4</v>
      </c>
      <c r="AF21" s="6">
        <f t="shared" si="0"/>
        <v>114.56923076923077</v>
      </c>
      <c r="AG21" s="6">
        <f t="shared" si="1"/>
        <v>108.30000000000001</v>
      </c>
      <c r="AH21" s="6">
        <f t="shared" si="2"/>
        <v>109.03333333333335</v>
      </c>
      <c r="AI21" s="6">
        <f t="shared" si="3"/>
        <v>108.35999999999999</v>
      </c>
      <c r="AJ21" s="6">
        <f>IFERROR(AVERAGE(Main[[#This Row],[Health]],Main[[#This Row],[Personal care and effects]]),"NA")</f>
        <v>105.15</v>
      </c>
    </row>
    <row r="22" spans="1:36" ht="13.2" x14ac:dyDescent="0.25">
      <c r="A22" s="1" t="s">
        <v>40</v>
      </c>
      <c r="B22" s="1">
        <v>2013</v>
      </c>
      <c r="C22" s="1" t="s">
        <v>46</v>
      </c>
      <c r="D22" s="8">
        <f>DATEVALUE(Main[[#This Row],[Month]]&amp;Main[[#This Row],[Year]])</f>
        <v>41456</v>
      </c>
      <c r="E22" s="1">
        <v>114.8</v>
      </c>
      <c r="F22" s="1">
        <v>116.4</v>
      </c>
      <c r="G22" s="1">
        <v>111.9</v>
      </c>
      <c r="H22" s="1">
        <v>108.9</v>
      </c>
      <c r="I22" s="1">
        <v>104.3</v>
      </c>
      <c r="J22" s="1">
        <v>111.7</v>
      </c>
      <c r="K22" s="1">
        <v>140</v>
      </c>
      <c r="L22" s="1">
        <v>106.4</v>
      </c>
      <c r="M22" s="1">
        <v>103.3</v>
      </c>
      <c r="N22" s="1">
        <v>106.8</v>
      </c>
      <c r="O22" s="1">
        <v>109.6</v>
      </c>
      <c r="P22" s="1">
        <v>112.6</v>
      </c>
      <c r="Q22" s="1">
        <v>114.7</v>
      </c>
      <c r="R22" s="1">
        <v>110.3</v>
      </c>
      <c r="S22" s="1">
        <v>110.2</v>
      </c>
      <c r="T22" s="1">
        <v>108.8</v>
      </c>
      <c r="U22" s="1">
        <v>110</v>
      </c>
      <c r="V22" s="1">
        <v>107.7</v>
      </c>
      <c r="W22" s="1">
        <v>109.2</v>
      </c>
      <c r="X22" s="1">
        <v>108.2</v>
      </c>
      <c r="Y22" s="1">
        <v>107</v>
      </c>
      <c r="Z22" s="1">
        <v>107.1</v>
      </c>
      <c r="AA22" s="1">
        <v>106.1</v>
      </c>
      <c r="AB22" s="1">
        <v>109.1</v>
      </c>
      <c r="AC22" s="1">
        <v>102.8</v>
      </c>
      <c r="AD22" s="1">
        <v>106.9</v>
      </c>
      <c r="AE22" s="1">
        <v>111</v>
      </c>
      <c r="AF22" s="6">
        <f t="shared" si="0"/>
        <v>112.41538461538461</v>
      </c>
      <c r="AG22" s="6">
        <f t="shared" si="1"/>
        <v>107.76666666666665</v>
      </c>
      <c r="AH22" s="6">
        <f t="shared" si="2"/>
        <v>109.66666666666667</v>
      </c>
      <c r="AI22" s="6">
        <f t="shared" si="3"/>
        <v>108.26000000000002</v>
      </c>
      <c r="AJ22" s="6">
        <f>IFERROR(AVERAGE(Main[[#This Row],[Health]],Main[[#This Row],[Personal care and effects]]),"NA")</f>
        <v>104.9</v>
      </c>
    </row>
    <row r="23" spans="1:36" ht="13.2" x14ac:dyDescent="0.25">
      <c r="A23" s="1" t="s">
        <v>36</v>
      </c>
      <c r="B23" s="1">
        <v>2013</v>
      </c>
      <c r="C23" s="1" t="s">
        <v>47</v>
      </c>
      <c r="D23" s="8">
        <f>DATEVALUE(Main[[#This Row],[Month]]&amp;Main[[#This Row],[Year]])</f>
        <v>41487</v>
      </c>
      <c r="E23" s="1">
        <v>114.3</v>
      </c>
      <c r="F23" s="1">
        <v>115.4</v>
      </c>
      <c r="G23" s="1">
        <v>111.1</v>
      </c>
      <c r="H23" s="1">
        <v>110</v>
      </c>
      <c r="I23" s="1">
        <v>106.4</v>
      </c>
      <c r="J23" s="1">
        <v>110.8</v>
      </c>
      <c r="K23" s="1">
        <v>138.9</v>
      </c>
      <c r="L23" s="1">
        <v>107.4</v>
      </c>
      <c r="M23" s="1">
        <v>104.1</v>
      </c>
      <c r="N23" s="1">
        <v>106.9</v>
      </c>
      <c r="O23" s="1">
        <v>109.7</v>
      </c>
      <c r="P23" s="1">
        <v>112.6</v>
      </c>
      <c r="Q23" s="1">
        <v>114.9</v>
      </c>
      <c r="R23" s="1">
        <v>110.7</v>
      </c>
      <c r="S23" s="1">
        <v>111.3</v>
      </c>
      <c r="T23" s="1">
        <v>110.2</v>
      </c>
      <c r="U23" s="1">
        <v>111.1</v>
      </c>
      <c r="V23" s="1" t="s">
        <v>38</v>
      </c>
      <c r="W23" s="1">
        <v>109.9</v>
      </c>
      <c r="X23" s="1">
        <v>108.7</v>
      </c>
      <c r="Y23" s="1">
        <v>107.5</v>
      </c>
      <c r="Z23" s="1">
        <v>107.8</v>
      </c>
      <c r="AA23" s="1">
        <v>106.8</v>
      </c>
      <c r="AB23" s="1">
        <v>108.7</v>
      </c>
      <c r="AC23" s="1">
        <v>105</v>
      </c>
      <c r="AD23" s="1">
        <v>107.5</v>
      </c>
      <c r="AE23" s="1">
        <v>112.1</v>
      </c>
      <c r="AF23" s="6">
        <f t="shared" si="0"/>
        <v>112.5</v>
      </c>
      <c r="AG23" s="6">
        <f t="shared" si="1"/>
        <v>108.33333333333333</v>
      </c>
      <c r="AH23" s="6">
        <f t="shared" si="2"/>
        <v>110.86666666666667</v>
      </c>
      <c r="AI23" s="6">
        <f t="shared" si="3"/>
        <v>108.77500000000001</v>
      </c>
      <c r="AJ23" s="6">
        <f>IFERROR(AVERAGE(Main[[#This Row],[Health]],Main[[#This Row],[Personal care and effects]]),"NA")</f>
        <v>106.25</v>
      </c>
    </row>
    <row r="24" spans="1:36" ht="13.2" x14ac:dyDescent="0.25">
      <c r="A24" s="1" t="s">
        <v>39</v>
      </c>
      <c r="B24" s="1">
        <v>2013</v>
      </c>
      <c r="C24" s="1" t="s">
        <v>47</v>
      </c>
      <c r="D24" s="8">
        <f>DATEVALUE(Main[[#This Row],[Month]]&amp;Main[[#This Row],[Year]])</f>
        <v>41487</v>
      </c>
      <c r="E24" s="1">
        <v>118.3</v>
      </c>
      <c r="F24" s="1">
        <v>120.4</v>
      </c>
      <c r="G24" s="1">
        <v>112.7</v>
      </c>
      <c r="H24" s="1">
        <v>108.9</v>
      </c>
      <c r="I24" s="1">
        <v>101.1</v>
      </c>
      <c r="J24" s="1">
        <v>108.7</v>
      </c>
      <c r="K24" s="1">
        <v>177</v>
      </c>
      <c r="L24" s="1">
        <v>104.7</v>
      </c>
      <c r="M24" s="1">
        <v>101</v>
      </c>
      <c r="N24" s="1">
        <v>108.5</v>
      </c>
      <c r="O24" s="1">
        <v>110.9</v>
      </c>
      <c r="P24" s="1">
        <v>114.3</v>
      </c>
      <c r="Q24" s="1">
        <v>119.6</v>
      </c>
      <c r="R24" s="1">
        <v>112.4</v>
      </c>
      <c r="S24" s="1">
        <v>110.6</v>
      </c>
      <c r="T24" s="1">
        <v>108.3</v>
      </c>
      <c r="U24" s="1">
        <v>110.2</v>
      </c>
      <c r="V24" s="1">
        <v>108.9</v>
      </c>
      <c r="W24" s="1">
        <v>109.3</v>
      </c>
      <c r="X24" s="1">
        <v>108.7</v>
      </c>
      <c r="Y24" s="1">
        <v>107.6</v>
      </c>
      <c r="Z24" s="1">
        <v>108.1</v>
      </c>
      <c r="AA24" s="1">
        <v>106.5</v>
      </c>
      <c r="AB24" s="1">
        <v>110.8</v>
      </c>
      <c r="AC24" s="1">
        <v>106</v>
      </c>
      <c r="AD24" s="1">
        <v>108.3</v>
      </c>
      <c r="AE24" s="1">
        <v>112.7</v>
      </c>
      <c r="AF24" s="6">
        <f t="shared" si="0"/>
        <v>115.85384615384616</v>
      </c>
      <c r="AG24" s="6">
        <f t="shared" si="1"/>
        <v>109.06666666666666</v>
      </c>
      <c r="AH24" s="6">
        <f t="shared" si="2"/>
        <v>109.69999999999999</v>
      </c>
      <c r="AI24" s="6">
        <f t="shared" si="3"/>
        <v>109.16</v>
      </c>
      <c r="AJ24" s="6">
        <f>IFERROR(AVERAGE(Main[[#This Row],[Health]],Main[[#This Row],[Personal care and effects]]),"NA")</f>
        <v>106.8</v>
      </c>
    </row>
    <row r="25" spans="1:36" ht="13.2" x14ac:dyDescent="0.25">
      <c r="A25" s="1" t="s">
        <v>40</v>
      </c>
      <c r="B25" s="1">
        <v>2013</v>
      </c>
      <c r="C25" s="1" t="s">
        <v>47</v>
      </c>
      <c r="D25" s="8">
        <f>DATEVALUE(Main[[#This Row],[Month]]&amp;Main[[#This Row],[Year]])</f>
        <v>41487</v>
      </c>
      <c r="E25" s="1">
        <v>115.6</v>
      </c>
      <c r="F25" s="1">
        <v>117.2</v>
      </c>
      <c r="G25" s="1">
        <v>111.7</v>
      </c>
      <c r="H25" s="1">
        <v>109.6</v>
      </c>
      <c r="I25" s="1">
        <v>104.5</v>
      </c>
      <c r="J25" s="1">
        <v>109.8</v>
      </c>
      <c r="K25" s="1">
        <v>151.80000000000001</v>
      </c>
      <c r="L25" s="1">
        <v>106.5</v>
      </c>
      <c r="M25" s="1">
        <v>103.1</v>
      </c>
      <c r="N25" s="1">
        <v>107.4</v>
      </c>
      <c r="O25" s="1">
        <v>110.2</v>
      </c>
      <c r="P25" s="1">
        <v>113.4</v>
      </c>
      <c r="Q25" s="1">
        <v>116.6</v>
      </c>
      <c r="R25" s="1">
        <v>111.2</v>
      </c>
      <c r="S25" s="1">
        <v>111</v>
      </c>
      <c r="T25" s="1">
        <v>109.4</v>
      </c>
      <c r="U25" s="1">
        <v>110.7</v>
      </c>
      <c r="V25" s="1">
        <v>108.9</v>
      </c>
      <c r="W25" s="1">
        <v>109.7</v>
      </c>
      <c r="X25" s="1">
        <v>108.7</v>
      </c>
      <c r="Y25" s="1">
        <v>107.5</v>
      </c>
      <c r="Z25" s="1">
        <v>108</v>
      </c>
      <c r="AA25" s="1">
        <v>106.6</v>
      </c>
      <c r="AB25" s="1">
        <v>109.9</v>
      </c>
      <c r="AC25" s="1">
        <v>105.4</v>
      </c>
      <c r="AD25" s="1">
        <v>107.9</v>
      </c>
      <c r="AE25" s="1">
        <v>112.4</v>
      </c>
      <c r="AF25" s="6">
        <f t="shared" si="0"/>
        <v>113.64615384615385</v>
      </c>
      <c r="AG25" s="6">
        <f t="shared" si="1"/>
        <v>108.56666666666668</v>
      </c>
      <c r="AH25" s="6">
        <f t="shared" si="2"/>
        <v>110.36666666666667</v>
      </c>
      <c r="AI25" s="6">
        <f t="shared" si="3"/>
        <v>109.04</v>
      </c>
      <c r="AJ25" s="6">
        <f>IFERROR(AVERAGE(Main[[#This Row],[Health]],Main[[#This Row],[Personal care and effects]]),"NA")</f>
        <v>106.45</v>
      </c>
    </row>
    <row r="26" spans="1:36" ht="13.2" x14ac:dyDescent="0.25">
      <c r="A26" s="1" t="s">
        <v>36</v>
      </c>
      <c r="B26" s="1">
        <v>2013</v>
      </c>
      <c r="C26" s="1" t="s">
        <v>48</v>
      </c>
      <c r="D26" s="8">
        <f>DATEVALUE(Main[[#This Row],[Month]]&amp;Main[[#This Row],[Year]])</f>
        <v>41518</v>
      </c>
      <c r="E26" s="1">
        <v>115.4</v>
      </c>
      <c r="F26" s="1">
        <v>115.7</v>
      </c>
      <c r="G26" s="1">
        <v>111.7</v>
      </c>
      <c r="H26" s="1">
        <v>111</v>
      </c>
      <c r="I26" s="1">
        <v>107.4</v>
      </c>
      <c r="J26" s="1">
        <v>110.9</v>
      </c>
      <c r="K26" s="1">
        <v>154</v>
      </c>
      <c r="L26" s="1">
        <v>108.1</v>
      </c>
      <c r="M26" s="1">
        <v>104.2</v>
      </c>
      <c r="N26" s="1">
        <v>107.9</v>
      </c>
      <c r="O26" s="1">
        <v>110.4</v>
      </c>
      <c r="P26" s="1">
        <v>114</v>
      </c>
      <c r="Q26" s="1">
        <v>117.8</v>
      </c>
      <c r="R26" s="1">
        <v>111.7</v>
      </c>
      <c r="S26" s="1">
        <v>112.7</v>
      </c>
      <c r="T26" s="1">
        <v>111.4</v>
      </c>
      <c r="U26" s="1">
        <v>112.5</v>
      </c>
      <c r="V26" s="1" t="s">
        <v>38</v>
      </c>
      <c r="W26" s="1">
        <v>111.1</v>
      </c>
      <c r="X26" s="1">
        <v>109.6</v>
      </c>
      <c r="Y26" s="1">
        <v>108.3</v>
      </c>
      <c r="Z26" s="1">
        <v>109.3</v>
      </c>
      <c r="AA26" s="1">
        <v>107.7</v>
      </c>
      <c r="AB26" s="1">
        <v>109.8</v>
      </c>
      <c r="AC26" s="1">
        <v>106.7</v>
      </c>
      <c r="AD26" s="1">
        <v>108.7</v>
      </c>
      <c r="AE26" s="1">
        <v>114.2</v>
      </c>
      <c r="AF26" s="6">
        <f t="shared" si="0"/>
        <v>114.50000000000001</v>
      </c>
      <c r="AG26" s="6">
        <f t="shared" si="1"/>
        <v>109.36666666666667</v>
      </c>
      <c r="AH26" s="6">
        <f t="shared" si="2"/>
        <v>112.2</v>
      </c>
      <c r="AI26" s="6">
        <f t="shared" si="3"/>
        <v>109.95</v>
      </c>
      <c r="AJ26" s="6">
        <f>IFERROR(AVERAGE(Main[[#This Row],[Health]],Main[[#This Row],[Personal care and effects]]),"NA")</f>
        <v>107.5</v>
      </c>
    </row>
    <row r="27" spans="1:36" ht="13.2" x14ac:dyDescent="0.25">
      <c r="A27" s="1" t="s">
        <v>39</v>
      </c>
      <c r="B27" s="1">
        <v>2013</v>
      </c>
      <c r="C27" s="1" t="s">
        <v>48</v>
      </c>
      <c r="D27" s="8">
        <f>DATEVALUE(Main[[#This Row],[Month]]&amp;Main[[#This Row],[Year]])</f>
        <v>41518</v>
      </c>
      <c r="E27" s="1">
        <v>118.6</v>
      </c>
      <c r="F27" s="1">
        <v>119.1</v>
      </c>
      <c r="G27" s="1">
        <v>113.2</v>
      </c>
      <c r="H27" s="1">
        <v>109.6</v>
      </c>
      <c r="I27" s="1">
        <v>101.7</v>
      </c>
      <c r="J27" s="1">
        <v>103.2</v>
      </c>
      <c r="K27" s="1">
        <v>174.3</v>
      </c>
      <c r="L27" s="1">
        <v>105.1</v>
      </c>
      <c r="M27" s="1">
        <v>100.8</v>
      </c>
      <c r="N27" s="1">
        <v>109.1</v>
      </c>
      <c r="O27" s="1">
        <v>111.1</v>
      </c>
      <c r="P27" s="1">
        <v>115.4</v>
      </c>
      <c r="Q27" s="1">
        <v>119.2</v>
      </c>
      <c r="R27" s="1">
        <v>112.9</v>
      </c>
      <c r="S27" s="1">
        <v>111.4</v>
      </c>
      <c r="T27" s="1">
        <v>109</v>
      </c>
      <c r="U27" s="1">
        <v>111.1</v>
      </c>
      <c r="V27" s="1">
        <v>109.7</v>
      </c>
      <c r="W27" s="1">
        <v>109.5</v>
      </c>
      <c r="X27" s="1">
        <v>109.6</v>
      </c>
      <c r="Y27" s="1">
        <v>107.9</v>
      </c>
      <c r="Z27" s="1">
        <v>110.4</v>
      </c>
      <c r="AA27" s="1">
        <v>107.4</v>
      </c>
      <c r="AB27" s="1">
        <v>111.2</v>
      </c>
      <c r="AC27" s="1">
        <v>106.9</v>
      </c>
      <c r="AD27" s="1">
        <v>109.4</v>
      </c>
      <c r="AE27" s="1">
        <v>113.2</v>
      </c>
      <c r="AF27" s="6">
        <f t="shared" si="0"/>
        <v>115.41538461538462</v>
      </c>
      <c r="AG27" s="6">
        <f t="shared" si="1"/>
        <v>109.90000000000002</v>
      </c>
      <c r="AH27" s="6">
        <f t="shared" si="2"/>
        <v>110.5</v>
      </c>
      <c r="AI27" s="6">
        <f t="shared" si="3"/>
        <v>110.08</v>
      </c>
      <c r="AJ27" s="6">
        <f>IFERROR(AVERAGE(Main[[#This Row],[Health]],Main[[#This Row],[Personal care and effects]]),"NA")</f>
        <v>107.4</v>
      </c>
    </row>
    <row r="28" spans="1:36" ht="13.2" x14ac:dyDescent="0.25">
      <c r="A28" s="1" t="s">
        <v>40</v>
      </c>
      <c r="B28" s="1">
        <v>2013</v>
      </c>
      <c r="C28" s="1" t="s">
        <v>48</v>
      </c>
      <c r="D28" s="8">
        <f>DATEVALUE(Main[[#This Row],[Month]]&amp;Main[[#This Row],[Year]])</f>
        <v>41518</v>
      </c>
      <c r="E28" s="1">
        <v>116.4</v>
      </c>
      <c r="F28" s="1">
        <v>116.9</v>
      </c>
      <c r="G28" s="1">
        <v>112.3</v>
      </c>
      <c r="H28" s="1">
        <v>110.5</v>
      </c>
      <c r="I28" s="1">
        <v>105.3</v>
      </c>
      <c r="J28" s="1">
        <v>107.3</v>
      </c>
      <c r="K28" s="1">
        <v>160.9</v>
      </c>
      <c r="L28" s="1">
        <v>107.1</v>
      </c>
      <c r="M28" s="1">
        <v>103.1</v>
      </c>
      <c r="N28" s="1">
        <v>108.3</v>
      </c>
      <c r="O28" s="1">
        <v>110.7</v>
      </c>
      <c r="P28" s="1">
        <v>114.6</v>
      </c>
      <c r="Q28" s="1">
        <v>118.3</v>
      </c>
      <c r="R28" s="1">
        <v>112</v>
      </c>
      <c r="S28" s="1">
        <v>112.2</v>
      </c>
      <c r="T28" s="1">
        <v>110.4</v>
      </c>
      <c r="U28" s="1">
        <v>111.9</v>
      </c>
      <c r="V28" s="1">
        <v>109.7</v>
      </c>
      <c r="W28" s="1">
        <v>110.5</v>
      </c>
      <c r="X28" s="1">
        <v>109.6</v>
      </c>
      <c r="Y28" s="1">
        <v>108.1</v>
      </c>
      <c r="Z28" s="1">
        <v>109.9</v>
      </c>
      <c r="AA28" s="1">
        <v>107.5</v>
      </c>
      <c r="AB28" s="1">
        <v>110.6</v>
      </c>
      <c r="AC28" s="1">
        <v>106.8</v>
      </c>
      <c r="AD28" s="1">
        <v>109</v>
      </c>
      <c r="AE28" s="1">
        <v>113.7</v>
      </c>
      <c r="AF28" s="6">
        <f t="shared" si="0"/>
        <v>114.74615384615383</v>
      </c>
      <c r="AG28" s="6">
        <f t="shared" si="1"/>
        <v>109.5</v>
      </c>
      <c r="AH28" s="6">
        <f t="shared" si="2"/>
        <v>111.5</v>
      </c>
      <c r="AI28" s="6">
        <f t="shared" si="3"/>
        <v>110.05999999999999</v>
      </c>
      <c r="AJ28" s="6">
        <f>IFERROR(AVERAGE(Main[[#This Row],[Health]],Main[[#This Row],[Personal care and effects]]),"NA")</f>
        <v>107.44999999999999</v>
      </c>
    </row>
    <row r="29" spans="1:36" ht="13.2" x14ac:dyDescent="0.25">
      <c r="A29" s="1" t="s">
        <v>36</v>
      </c>
      <c r="B29" s="1">
        <v>2013</v>
      </c>
      <c r="C29" s="1" t="s">
        <v>49</v>
      </c>
      <c r="D29" s="8">
        <f>DATEVALUE(Main[[#This Row],[Month]]&amp;Main[[#This Row],[Year]])</f>
        <v>41548</v>
      </c>
      <c r="E29" s="1">
        <v>116.3</v>
      </c>
      <c r="F29" s="1">
        <v>115.4</v>
      </c>
      <c r="G29" s="1">
        <v>112.6</v>
      </c>
      <c r="H29" s="1">
        <v>111.7</v>
      </c>
      <c r="I29" s="1">
        <v>107.7</v>
      </c>
      <c r="J29" s="1">
        <v>113.2</v>
      </c>
      <c r="K29" s="1">
        <v>164.9</v>
      </c>
      <c r="L29" s="1">
        <v>108.3</v>
      </c>
      <c r="M29" s="1">
        <v>103.9</v>
      </c>
      <c r="N29" s="1">
        <v>108.2</v>
      </c>
      <c r="O29" s="1">
        <v>111.1</v>
      </c>
      <c r="P29" s="1">
        <v>114.9</v>
      </c>
      <c r="Q29" s="1">
        <v>119.8</v>
      </c>
      <c r="R29" s="1">
        <v>112.2</v>
      </c>
      <c r="S29" s="1">
        <v>113.6</v>
      </c>
      <c r="T29" s="1">
        <v>112.3</v>
      </c>
      <c r="U29" s="1">
        <v>113.4</v>
      </c>
      <c r="V29" s="1" t="s">
        <v>38</v>
      </c>
      <c r="W29" s="1">
        <v>111.6</v>
      </c>
      <c r="X29" s="1">
        <v>110.4</v>
      </c>
      <c r="Y29" s="1">
        <v>108.9</v>
      </c>
      <c r="Z29" s="1">
        <v>109.3</v>
      </c>
      <c r="AA29" s="1">
        <v>108.3</v>
      </c>
      <c r="AB29" s="1">
        <v>110.2</v>
      </c>
      <c r="AC29" s="1">
        <v>107.5</v>
      </c>
      <c r="AD29" s="1">
        <v>109.1</v>
      </c>
      <c r="AE29" s="1">
        <v>115.5</v>
      </c>
      <c r="AF29" s="6">
        <f t="shared" si="0"/>
        <v>116</v>
      </c>
      <c r="AG29" s="6">
        <f t="shared" si="1"/>
        <v>109.86666666666667</v>
      </c>
      <c r="AH29" s="6">
        <f t="shared" si="2"/>
        <v>113.09999999999998</v>
      </c>
      <c r="AI29" s="6">
        <f t="shared" si="3"/>
        <v>110.375</v>
      </c>
      <c r="AJ29" s="6">
        <f>IFERROR(AVERAGE(Main[[#This Row],[Health]],Main[[#This Row],[Personal care and effects]]),"NA")</f>
        <v>108.2</v>
      </c>
    </row>
    <row r="30" spans="1:36" ht="13.2" x14ac:dyDescent="0.25">
      <c r="A30" s="1" t="s">
        <v>39</v>
      </c>
      <c r="B30" s="1">
        <v>2013</v>
      </c>
      <c r="C30" s="1" t="s">
        <v>49</v>
      </c>
      <c r="D30" s="8">
        <f>DATEVALUE(Main[[#This Row],[Month]]&amp;Main[[#This Row],[Year]])</f>
        <v>41548</v>
      </c>
      <c r="E30" s="1">
        <v>118.9</v>
      </c>
      <c r="F30" s="1">
        <v>118.1</v>
      </c>
      <c r="G30" s="1">
        <v>114.5</v>
      </c>
      <c r="H30" s="1">
        <v>110.4</v>
      </c>
      <c r="I30" s="1">
        <v>102.3</v>
      </c>
      <c r="J30" s="1">
        <v>106.2</v>
      </c>
      <c r="K30" s="1">
        <v>183.5</v>
      </c>
      <c r="L30" s="1">
        <v>105.3</v>
      </c>
      <c r="M30" s="1">
        <v>100.2</v>
      </c>
      <c r="N30" s="1">
        <v>109.6</v>
      </c>
      <c r="O30" s="1">
        <v>111.4</v>
      </c>
      <c r="P30" s="1">
        <v>116</v>
      </c>
      <c r="Q30" s="1">
        <v>120.8</v>
      </c>
      <c r="R30" s="1">
        <v>113.5</v>
      </c>
      <c r="S30" s="1">
        <v>112.5</v>
      </c>
      <c r="T30" s="1">
        <v>109.7</v>
      </c>
      <c r="U30" s="1">
        <v>112</v>
      </c>
      <c r="V30" s="1">
        <v>110.5</v>
      </c>
      <c r="W30" s="1">
        <v>109.7</v>
      </c>
      <c r="X30" s="1">
        <v>110.2</v>
      </c>
      <c r="Y30" s="1">
        <v>108.2</v>
      </c>
      <c r="Z30" s="1">
        <v>109.7</v>
      </c>
      <c r="AA30" s="1">
        <v>108</v>
      </c>
      <c r="AB30" s="1">
        <v>111.3</v>
      </c>
      <c r="AC30" s="1">
        <v>107.3</v>
      </c>
      <c r="AD30" s="1">
        <v>109.4</v>
      </c>
      <c r="AE30" s="1">
        <v>114</v>
      </c>
      <c r="AF30" s="6">
        <f t="shared" si="0"/>
        <v>116.7076923076923</v>
      </c>
      <c r="AG30" s="6">
        <f t="shared" si="1"/>
        <v>110.3</v>
      </c>
      <c r="AH30" s="6">
        <f t="shared" si="2"/>
        <v>111.39999999999999</v>
      </c>
      <c r="AI30" s="6">
        <f t="shared" si="3"/>
        <v>110.28</v>
      </c>
      <c r="AJ30" s="6">
        <f>IFERROR(AVERAGE(Main[[#This Row],[Health]],Main[[#This Row],[Personal care and effects]]),"NA")</f>
        <v>107.75</v>
      </c>
    </row>
    <row r="31" spans="1:36" ht="13.2" x14ac:dyDescent="0.25">
      <c r="A31" s="1" t="s">
        <v>40</v>
      </c>
      <c r="B31" s="1">
        <v>2013</v>
      </c>
      <c r="C31" s="1" t="s">
        <v>49</v>
      </c>
      <c r="D31" s="8">
        <f>DATEVALUE(Main[[#This Row],[Month]]&amp;Main[[#This Row],[Year]])</f>
        <v>41548</v>
      </c>
      <c r="E31" s="1">
        <v>117.1</v>
      </c>
      <c r="F31" s="1">
        <v>116.3</v>
      </c>
      <c r="G31" s="1">
        <v>113.3</v>
      </c>
      <c r="H31" s="1">
        <v>111.2</v>
      </c>
      <c r="I31" s="1">
        <v>105.7</v>
      </c>
      <c r="J31" s="1">
        <v>109.9</v>
      </c>
      <c r="K31" s="1">
        <v>171.2</v>
      </c>
      <c r="L31" s="1">
        <v>107.3</v>
      </c>
      <c r="M31" s="1">
        <v>102.7</v>
      </c>
      <c r="N31" s="1">
        <v>108.7</v>
      </c>
      <c r="O31" s="1">
        <v>111.2</v>
      </c>
      <c r="P31" s="1">
        <v>115.4</v>
      </c>
      <c r="Q31" s="1">
        <v>120.2</v>
      </c>
      <c r="R31" s="1">
        <v>112.5</v>
      </c>
      <c r="S31" s="1">
        <v>113.2</v>
      </c>
      <c r="T31" s="1">
        <v>111.2</v>
      </c>
      <c r="U31" s="1">
        <v>112.8</v>
      </c>
      <c r="V31" s="1">
        <v>110.5</v>
      </c>
      <c r="W31" s="1">
        <v>110.9</v>
      </c>
      <c r="X31" s="1">
        <v>110.3</v>
      </c>
      <c r="Y31" s="1">
        <v>108.6</v>
      </c>
      <c r="Z31" s="1">
        <v>109.5</v>
      </c>
      <c r="AA31" s="1">
        <v>108.1</v>
      </c>
      <c r="AB31" s="1">
        <v>110.8</v>
      </c>
      <c r="AC31" s="1">
        <v>107.4</v>
      </c>
      <c r="AD31" s="1">
        <v>109.2</v>
      </c>
      <c r="AE31" s="1">
        <v>114.8</v>
      </c>
      <c r="AF31" s="6">
        <f t="shared" si="0"/>
        <v>116.16923076923079</v>
      </c>
      <c r="AG31" s="6">
        <f t="shared" si="1"/>
        <v>109.93333333333334</v>
      </c>
      <c r="AH31" s="6">
        <f t="shared" si="2"/>
        <v>112.39999999999999</v>
      </c>
      <c r="AI31" s="6">
        <f t="shared" si="3"/>
        <v>110.4</v>
      </c>
      <c r="AJ31" s="6">
        <f>IFERROR(AVERAGE(Main[[#This Row],[Health]],Main[[#This Row],[Personal care and effects]]),"NA")</f>
        <v>108</v>
      </c>
    </row>
    <row r="32" spans="1:36" ht="13.2" x14ac:dyDescent="0.25">
      <c r="A32" s="1" t="s">
        <v>36</v>
      </c>
      <c r="B32" s="1">
        <v>2013</v>
      </c>
      <c r="C32" s="1" t="s">
        <v>50</v>
      </c>
      <c r="D32" s="8">
        <f>DATEVALUE(Main[[#This Row],[Month]]&amp;Main[[#This Row],[Year]])</f>
        <v>41579</v>
      </c>
      <c r="E32" s="1">
        <v>117.3</v>
      </c>
      <c r="F32" s="1">
        <v>114.9</v>
      </c>
      <c r="G32" s="1">
        <v>116.2</v>
      </c>
      <c r="H32" s="1">
        <v>112.8</v>
      </c>
      <c r="I32" s="1">
        <v>108.9</v>
      </c>
      <c r="J32" s="1">
        <v>116.6</v>
      </c>
      <c r="K32" s="1">
        <v>178.1</v>
      </c>
      <c r="L32" s="1">
        <v>109.1</v>
      </c>
      <c r="M32" s="1">
        <v>103.6</v>
      </c>
      <c r="N32" s="1">
        <v>109</v>
      </c>
      <c r="O32" s="1">
        <v>111.8</v>
      </c>
      <c r="P32" s="1">
        <v>116</v>
      </c>
      <c r="Q32" s="1">
        <v>122.5</v>
      </c>
      <c r="R32" s="1">
        <v>112.8</v>
      </c>
      <c r="S32" s="1">
        <v>114.6</v>
      </c>
      <c r="T32" s="1">
        <v>113.1</v>
      </c>
      <c r="U32" s="1">
        <v>114.4</v>
      </c>
      <c r="V32" s="1" t="s">
        <v>38</v>
      </c>
      <c r="W32" s="1">
        <v>112.6</v>
      </c>
      <c r="X32" s="1">
        <v>111.3</v>
      </c>
      <c r="Y32" s="1">
        <v>109.7</v>
      </c>
      <c r="Z32" s="1">
        <v>109.6</v>
      </c>
      <c r="AA32" s="1">
        <v>108.7</v>
      </c>
      <c r="AB32" s="1">
        <v>111</v>
      </c>
      <c r="AC32" s="1">
        <v>108.2</v>
      </c>
      <c r="AD32" s="1">
        <v>109.8</v>
      </c>
      <c r="AE32" s="1">
        <v>117.4</v>
      </c>
      <c r="AF32" s="6">
        <f t="shared" si="0"/>
        <v>118.21538461538461</v>
      </c>
      <c r="AG32" s="6">
        <f t="shared" si="1"/>
        <v>110.43333333333334</v>
      </c>
      <c r="AH32" s="6">
        <f t="shared" si="2"/>
        <v>114.03333333333335</v>
      </c>
      <c r="AI32" s="6">
        <f t="shared" si="3"/>
        <v>111.125</v>
      </c>
      <c r="AJ32" s="6">
        <f>IFERROR(AVERAGE(Main[[#This Row],[Health]],Main[[#This Row],[Personal care and effects]]),"NA")</f>
        <v>108.95</v>
      </c>
    </row>
    <row r="33" spans="1:36" ht="13.2" x14ac:dyDescent="0.25">
      <c r="A33" s="1" t="s">
        <v>39</v>
      </c>
      <c r="B33" s="1">
        <v>2013</v>
      </c>
      <c r="C33" s="1" t="s">
        <v>50</v>
      </c>
      <c r="D33" s="8">
        <f>DATEVALUE(Main[[#This Row],[Month]]&amp;Main[[#This Row],[Year]])</f>
        <v>41579</v>
      </c>
      <c r="E33" s="1">
        <v>119.8</v>
      </c>
      <c r="F33" s="1">
        <v>116.3</v>
      </c>
      <c r="G33" s="1">
        <v>122.6</v>
      </c>
      <c r="H33" s="1">
        <v>112</v>
      </c>
      <c r="I33" s="1">
        <v>103.2</v>
      </c>
      <c r="J33" s="1">
        <v>110</v>
      </c>
      <c r="K33" s="1">
        <v>192.8</v>
      </c>
      <c r="L33" s="1">
        <v>106.3</v>
      </c>
      <c r="M33" s="1">
        <v>99.5</v>
      </c>
      <c r="N33" s="1">
        <v>110.3</v>
      </c>
      <c r="O33" s="1">
        <v>111.8</v>
      </c>
      <c r="P33" s="1">
        <v>117.1</v>
      </c>
      <c r="Q33" s="1">
        <v>122.9</v>
      </c>
      <c r="R33" s="1">
        <v>114.1</v>
      </c>
      <c r="S33" s="1">
        <v>113.5</v>
      </c>
      <c r="T33" s="1">
        <v>110.3</v>
      </c>
      <c r="U33" s="1">
        <v>113</v>
      </c>
      <c r="V33" s="1">
        <v>111.1</v>
      </c>
      <c r="W33" s="1">
        <v>110</v>
      </c>
      <c r="X33" s="1">
        <v>110.9</v>
      </c>
      <c r="Y33" s="1">
        <v>108.6</v>
      </c>
      <c r="Z33" s="1">
        <v>109.5</v>
      </c>
      <c r="AA33" s="1">
        <v>108.5</v>
      </c>
      <c r="AB33" s="1">
        <v>111.3</v>
      </c>
      <c r="AC33" s="1">
        <v>107.9</v>
      </c>
      <c r="AD33" s="1">
        <v>109.6</v>
      </c>
      <c r="AE33" s="1">
        <v>115</v>
      </c>
      <c r="AF33" s="6">
        <f t="shared" si="0"/>
        <v>118.8153846153846</v>
      </c>
      <c r="AG33" s="6">
        <f t="shared" si="1"/>
        <v>110.73333333333333</v>
      </c>
      <c r="AH33" s="6">
        <f t="shared" si="2"/>
        <v>112.26666666666667</v>
      </c>
      <c r="AI33" s="6">
        <f t="shared" si="3"/>
        <v>110.55999999999999</v>
      </c>
      <c r="AJ33" s="6">
        <f>IFERROR(AVERAGE(Main[[#This Row],[Health]],Main[[#This Row],[Personal care and effects]]),"NA")</f>
        <v>108.25</v>
      </c>
    </row>
    <row r="34" spans="1:36" ht="13.2" x14ac:dyDescent="0.25">
      <c r="A34" s="1" t="s">
        <v>40</v>
      </c>
      <c r="B34" s="1">
        <v>2013</v>
      </c>
      <c r="C34" s="1" t="s">
        <v>50</v>
      </c>
      <c r="D34" s="8">
        <f>DATEVALUE(Main[[#This Row],[Month]]&amp;Main[[#This Row],[Year]])</f>
        <v>41579</v>
      </c>
      <c r="E34" s="1">
        <v>118.1</v>
      </c>
      <c r="F34" s="1">
        <v>115.4</v>
      </c>
      <c r="G34" s="1">
        <v>118.7</v>
      </c>
      <c r="H34" s="1">
        <v>112.5</v>
      </c>
      <c r="I34" s="1">
        <v>106.8</v>
      </c>
      <c r="J34" s="1">
        <v>113.5</v>
      </c>
      <c r="K34" s="1">
        <v>183.1</v>
      </c>
      <c r="L34" s="1">
        <v>108.2</v>
      </c>
      <c r="M34" s="1">
        <v>102.2</v>
      </c>
      <c r="N34" s="1">
        <v>109.4</v>
      </c>
      <c r="O34" s="1">
        <v>111.8</v>
      </c>
      <c r="P34" s="1">
        <v>116.5</v>
      </c>
      <c r="Q34" s="1">
        <v>122.6</v>
      </c>
      <c r="R34" s="1">
        <v>113.1</v>
      </c>
      <c r="S34" s="1">
        <v>114.2</v>
      </c>
      <c r="T34" s="1">
        <v>111.9</v>
      </c>
      <c r="U34" s="1">
        <v>113.8</v>
      </c>
      <c r="V34" s="1">
        <v>111.1</v>
      </c>
      <c r="W34" s="1">
        <v>111.6</v>
      </c>
      <c r="X34" s="1">
        <v>111.1</v>
      </c>
      <c r="Y34" s="1">
        <v>109.3</v>
      </c>
      <c r="Z34" s="1">
        <v>109.5</v>
      </c>
      <c r="AA34" s="1">
        <v>108.6</v>
      </c>
      <c r="AB34" s="1">
        <v>111.2</v>
      </c>
      <c r="AC34" s="1">
        <v>108.1</v>
      </c>
      <c r="AD34" s="1">
        <v>109.7</v>
      </c>
      <c r="AE34" s="1">
        <v>116.3</v>
      </c>
      <c r="AF34" s="6">
        <f t="shared" si="0"/>
        <v>118.36923076923077</v>
      </c>
      <c r="AG34" s="6">
        <f t="shared" si="1"/>
        <v>110.46666666666665</v>
      </c>
      <c r="AH34" s="6">
        <f t="shared" si="2"/>
        <v>113.30000000000001</v>
      </c>
      <c r="AI34" s="6">
        <f t="shared" si="3"/>
        <v>110.9</v>
      </c>
      <c r="AJ34" s="6">
        <f>IFERROR(AVERAGE(Main[[#This Row],[Health]],Main[[#This Row],[Personal care and effects]]),"NA")</f>
        <v>108.69999999999999</v>
      </c>
    </row>
    <row r="35" spans="1:36" ht="13.2" x14ac:dyDescent="0.25">
      <c r="A35" s="1" t="s">
        <v>36</v>
      </c>
      <c r="B35" s="1">
        <v>2013</v>
      </c>
      <c r="C35" s="1" t="s">
        <v>51</v>
      </c>
      <c r="D35" s="8">
        <f>DATEVALUE(Main[[#This Row],[Month]]&amp;Main[[#This Row],[Year]])</f>
        <v>41609</v>
      </c>
      <c r="E35" s="1">
        <v>118.4</v>
      </c>
      <c r="F35" s="1">
        <v>115.9</v>
      </c>
      <c r="G35" s="1">
        <v>120.4</v>
      </c>
      <c r="H35" s="1">
        <v>113.8</v>
      </c>
      <c r="I35" s="1">
        <v>109.5</v>
      </c>
      <c r="J35" s="1">
        <v>115.5</v>
      </c>
      <c r="K35" s="1">
        <v>145.69999999999999</v>
      </c>
      <c r="L35" s="1">
        <v>109.5</v>
      </c>
      <c r="M35" s="1">
        <v>102.9</v>
      </c>
      <c r="N35" s="1">
        <v>109.8</v>
      </c>
      <c r="O35" s="1">
        <v>112.1</v>
      </c>
      <c r="P35" s="1">
        <v>116.8</v>
      </c>
      <c r="Q35" s="1">
        <v>118.7</v>
      </c>
      <c r="R35" s="1">
        <v>113.6</v>
      </c>
      <c r="S35" s="1">
        <v>115.8</v>
      </c>
      <c r="T35" s="1">
        <v>114</v>
      </c>
      <c r="U35" s="1">
        <v>115.5</v>
      </c>
      <c r="V35" s="1" t="s">
        <v>38</v>
      </c>
      <c r="W35" s="1">
        <v>112.8</v>
      </c>
      <c r="X35" s="1">
        <v>112.1</v>
      </c>
      <c r="Y35" s="1">
        <v>110.1</v>
      </c>
      <c r="Z35" s="1">
        <v>109.9</v>
      </c>
      <c r="AA35" s="1">
        <v>109.2</v>
      </c>
      <c r="AB35" s="1">
        <v>111.6</v>
      </c>
      <c r="AC35" s="1">
        <v>108.1</v>
      </c>
      <c r="AD35" s="1">
        <v>110.1</v>
      </c>
      <c r="AE35" s="1">
        <v>115.5</v>
      </c>
      <c r="AF35" s="6">
        <f t="shared" si="0"/>
        <v>116.07692307692308</v>
      </c>
      <c r="AG35" s="6">
        <f t="shared" si="1"/>
        <v>110.96666666666665</v>
      </c>
      <c r="AH35" s="6">
        <f t="shared" si="2"/>
        <v>115.10000000000001</v>
      </c>
      <c r="AI35" s="6">
        <f t="shared" si="3"/>
        <v>111.6</v>
      </c>
      <c r="AJ35" s="6">
        <f>IFERROR(AVERAGE(Main[[#This Row],[Health]],Main[[#This Row],[Personal care and effects]]),"NA")</f>
        <v>109.1</v>
      </c>
    </row>
    <row r="36" spans="1:36" ht="13.2" x14ac:dyDescent="0.25">
      <c r="A36" s="1" t="s">
        <v>39</v>
      </c>
      <c r="B36" s="1">
        <v>2013</v>
      </c>
      <c r="C36" s="1" t="s">
        <v>51</v>
      </c>
      <c r="D36" s="8">
        <f>DATEVALUE(Main[[#This Row],[Month]]&amp;Main[[#This Row],[Year]])</f>
        <v>41609</v>
      </c>
      <c r="E36" s="1">
        <v>120.5</v>
      </c>
      <c r="F36" s="1">
        <v>118.1</v>
      </c>
      <c r="G36" s="1">
        <v>128.5</v>
      </c>
      <c r="H36" s="1">
        <v>112.8</v>
      </c>
      <c r="I36" s="1">
        <v>103.4</v>
      </c>
      <c r="J36" s="1">
        <v>110.7</v>
      </c>
      <c r="K36" s="1">
        <v>144.80000000000001</v>
      </c>
      <c r="L36" s="1">
        <v>107.1</v>
      </c>
      <c r="M36" s="1">
        <v>98.6</v>
      </c>
      <c r="N36" s="1">
        <v>111.9</v>
      </c>
      <c r="O36" s="1">
        <v>112.1</v>
      </c>
      <c r="P36" s="1">
        <v>118.1</v>
      </c>
      <c r="Q36" s="1">
        <v>117.8</v>
      </c>
      <c r="R36" s="1">
        <v>115</v>
      </c>
      <c r="S36" s="1">
        <v>114.2</v>
      </c>
      <c r="T36" s="1">
        <v>110.9</v>
      </c>
      <c r="U36" s="1">
        <v>113.7</v>
      </c>
      <c r="V36" s="1">
        <v>110.7</v>
      </c>
      <c r="W36" s="1">
        <v>110.4</v>
      </c>
      <c r="X36" s="1">
        <v>111.3</v>
      </c>
      <c r="Y36" s="1">
        <v>109</v>
      </c>
      <c r="Z36" s="1">
        <v>109.7</v>
      </c>
      <c r="AA36" s="1">
        <v>108.9</v>
      </c>
      <c r="AB36" s="1">
        <v>111.4</v>
      </c>
      <c r="AC36" s="1">
        <v>107.7</v>
      </c>
      <c r="AD36" s="1">
        <v>109.8</v>
      </c>
      <c r="AE36" s="1">
        <v>113.3</v>
      </c>
      <c r="AF36" s="6">
        <f t="shared" si="0"/>
        <v>115.72307692307693</v>
      </c>
      <c r="AG36" s="6">
        <f t="shared" si="1"/>
        <v>111.23333333333333</v>
      </c>
      <c r="AH36" s="6">
        <f t="shared" si="2"/>
        <v>112.93333333333334</v>
      </c>
      <c r="AI36" s="6">
        <f t="shared" si="3"/>
        <v>110.7</v>
      </c>
      <c r="AJ36" s="6">
        <f>IFERROR(AVERAGE(Main[[#This Row],[Health]],Main[[#This Row],[Personal care and effects]]),"NA")</f>
        <v>108.35</v>
      </c>
    </row>
    <row r="37" spans="1:36" ht="13.2" x14ac:dyDescent="0.25">
      <c r="A37" s="1" t="s">
        <v>40</v>
      </c>
      <c r="B37" s="1">
        <v>2013</v>
      </c>
      <c r="C37" s="1" t="s">
        <v>51</v>
      </c>
      <c r="D37" s="8">
        <f>DATEVALUE(Main[[#This Row],[Month]]&amp;Main[[#This Row],[Year]])</f>
        <v>41609</v>
      </c>
      <c r="E37" s="1">
        <v>119.1</v>
      </c>
      <c r="F37" s="1">
        <v>116.7</v>
      </c>
      <c r="G37" s="1">
        <v>123.5</v>
      </c>
      <c r="H37" s="1">
        <v>113.4</v>
      </c>
      <c r="I37" s="1">
        <v>107.3</v>
      </c>
      <c r="J37" s="1">
        <v>113.3</v>
      </c>
      <c r="K37" s="1">
        <v>145.4</v>
      </c>
      <c r="L37" s="1">
        <v>108.7</v>
      </c>
      <c r="M37" s="1">
        <v>101.5</v>
      </c>
      <c r="N37" s="1">
        <v>110.5</v>
      </c>
      <c r="O37" s="1">
        <v>112.1</v>
      </c>
      <c r="P37" s="1">
        <v>117.4</v>
      </c>
      <c r="Q37" s="1">
        <v>118.4</v>
      </c>
      <c r="R37" s="1">
        <v>114</v>
      </c>
      <c r="S37" s="1">
        <v>115.2</v>
      </c>
      <c r="T37" s="1">
        <v>112.7</v>
      </c>
      <c r="U37" s="1">
        <v>114.8</v>
      </c>
      <c r="V37" s="1">
        <v>110.7</v>
      </c>
      <c r="W37" s="1">
        <v>111.9</v>
      </c>
      <c r="X37" s="1">
        <v>111.7</v>
      </c>
      <c r="Y37" s="1">
        <v>109.7</v>
      </c>
      <c r="Z37" s="1">
        <v>109.8</v>
      </c>
      <c r="AA37" s="1">
        <v>109</v>
      </c>
      <c r="AB37" s="1">
        <v>111.5</v>
      </c>
      <c r="AC37" s="1">
        <v>107.9</v>
      </c>
      <c r="AD37" s="1">
        <v>110</v>
      </c>
      <c r="AE37" s="1">
        <v>114.5</v>
      </c>
      <c r="AF37" s="6">
        <f t="shared" si="0"/>
        <v>115.94615384615386</v>
      </c>
      <c r="AG37" s="6">
        <f t="shared" si="1"/>
        <v>111</v>
      </c>
      <c r="AH37" s="6">
        <f t="shared" si="2"/>
        <v>114.23333333333333</v>
      </c>
      <c r="AI37" s="6">
        <f t="shared" si="3"/>
        <v>111.12</v>
      </c>
      <c r="AJ37" s="6">
        <f>IFERROR(AVERAGE(Main[[#This Row],[Health]],Main[[#This Row],[Personal care and effects]]),"NA")</f>
        <v>108.80000000000001</v>
      </c>
    </row>
    <row r="38" spans="1:36" ht="13.2" x14ac:dyDescent="0.25">
      <c r="A38" s="1" t="s">
        <v>36</v>
      </c>
      <c r="B38" s="1">
        <v>2014</v>
      </c>
      <c r="C38" s="1" t="s">
        <v>37</v>
      </c>
      <c r="D38" s="8">
        <f>DATEVALUE(Main[[#This Row],[Month]]&amp;Main[[#This Row],[Year]])</f>
        <v>41640</v>
      </c>
      <c r="E38" s="1">
        <v>118.9</v>
      </c>
      <c r="F38" s="1">
        <v>117.1</v>
      </c>
      <c r="G38" s="1">
        <v>120.5</v>
      </c>
      <c r="H38" s="1">
        <v>114.4</v>
      </c>
      <c r="I38" s="1">
        <v>109</v>
      </c>
      <c r="J38" s="1">
        <v>115.5</v>
      </c>
      <c r="K38" s="1">
        <v>123.9</v>
      </c>
      <c r="L38" s="1">
        <v>109.6</v>
      </c>
      <c r="M38" s="1">
        <v>101.8</v>
      </c>
      <c r="N38" s="1">
        <v>110.2</v>
      </c>
      <c r="O38" s="1">
        <v>112.4</v>
      </c>
      <c r="P38" s="1">
        <v>117.3</v>
      </c>
      <c r="Q38" s="1">
        <v>116</v>
      </c>
      <c r="R38" s="1">
        <v>114</v>
      </c>
      <c r="S38" s="1">
        <v>116.5</v>
      </c>
      <c r="T38" s="1">
        <v>114.5</v>
      </c>
      <c r="U38" s="1">
        <v>116.2</v>
      </c>
      <c r="V38" s="1" t="s">
        <v>38</v>
      </c>
      <c r="W38" s="1">
        <v>113</v>
      </c>
      <c r="X38" s="1">
        <v>112.6</v>
      </c>
      <c r="Y38" s="1">
        <v>110.6</v>
      </c>
      <c r="Z38" s="1">
        <v>110.5</v>
      </c>
      <c r="AA38" s="1">
        <v>109.6</v>
      </c>
      <c r="AB38" s="1">
        <v>111.8</v>
      </c>
      <c r="AC38" s="1">
        <v>108.3</v>
      </c>
      <c r="AD38" s="1">
        <v>110.6</v>
      </c>
      <c r="AE38" s="1">
        <v>114.2</v>
      </c>
      <c r="AF38" s="6">
        <f t="shared" si="0"/>
        <v>114.35384615384616</v>
      </c>
      <c r="AG38" s="6">
        <f t="shared" si="1"/>
        <v>111.39999999999999</v>
      </c>
      <c r="AH38" s="6">
        <f t="shared" si="2"/>
        <v>115.73333333333333</v>
      </c>
      <c r="AI38" s="6">
        <f t="shared" si="3"/>
        <v>111.97500000000001</v>
      </c>
      <c r="AJ38" s="6">
        <f>IFERROR(AVERAGE(Main[[#This Row],[Health]],Main[[#This Row],[Personal care and effects]]),"NA")</f>
        <v>109.44999999999999</v>
      </c>
    </row>
    <row r="39" spans="1:36" ht="13.2" x14ac:dyDescent="0.25">
      <c r="A39" s="1" t="s">
        <v>39</v>
      </c>
      <c r="B39" s="1">
        <v>2014</v>
      </c>
      <c r="C39" s="1" t="s">
        <v>37</v>
      </c>
      <c r="D39" s="8">
        <f>DATEVALUE(Main[[#This Row],[Month]]&amp;Main[[#This Row],[Year]])</f>
        <v>41640</v>
      </c>
      <c r="E39" s="1">
        <v>121.2</v>
      </c>
      <c r="F39" s="1">
        <v>122</v>
      </c>
      <c r="G39" s="1">
        <v>129.9</v>
      </c>
      <c r="H39" s="1">
        <v>113.6</v>
      </c>
      <c r="I39" s="1">
        <v>102.9</v>
      </c>
      <c r="J39" s="1">
        <v>112.1</v>
      </c>
      <c r="K39" s="1">
        <v>118.9</v>
      </c>
      <c r="L39" s="1">
        <v>107.5</v>
      </c>
      <c r="M39" s="1">
        <v>96.9</v>
      </c>
      <c r="N39" s="1">
        <v>112.7</v>
      </c>
      <c r="O39" s="1">
        <v>112.1</v>
      </c>
      <c r="P39" s="1">
        <v>119</v>
      </c>
      <c r="Q39" s="1">
        <v>115.5</v>
      </c>
      <c r="R39" s="1">
        <v>115.7</v>
      </c>
      <c r="S39" s="1">
        <v>114.8</v>
      </c>
      <c r="T39" s="1">
        <v>111.3</v>
      </c>
      <c r="U39" s="1">
        <v>114.3</v>
      </c>
      <c r="V39" s="1">
        <v>111.6</v>
      </c>
      <c r="W39" s="1">
        <v>111</v>
      </c>
      <c r="X39" s="1">
        <v>111.9</v>
      </c>
      <c r="Y39" s="1">
        <v>109.7</v>
      </c>
      <c r="Z39" s="1">
        <v>110.8</v>
      </c>
      <c r="AA39" s="1">
        <v>109.8</v>
      </c>
      <c r="AB39" s="1">
        <v>111.5</v>
      </c>
      <c r="AC39" s="1">
        <v>108</v>
      </c>
      <c r="AD39" s="1">
        <v>110.5</v>
      </c>
      <c r="AE39" s="1">
        <v>112.9</v>
      </c>
      <c r="AF39" s="6">
        <f t="shared" si="0"/>
        <v>114.17692307692307</v>
      </c>
      <c r="AG39" s="6">
        <f t="shared" si="1"/>
        <v>112</v>
      </c>
      <c r="AH39" s="6">
        <f t="shared" si="2"/>
        <v>113.46666666666665</v>
      </c>
      <c r="AI39" s="6">
        <f t="shared" si="3"/>
        <v>111.35999999999999</v>
      </c>
      <c r="AJ39" s="6">
        <f>IFERROR(AVERAGE(Main[[#This Row],[Health]],Main[[#This Row],[Personal care and effects]]),"NA")</f>
        <v>108.85</v>
      </c>
    </row>
    <row r="40" spans="1:36" ht="13.2" x14ac:dyDescent="0.25">
      <c r="A40" s="1" t="s">
        <v>40</v>
      </c>
      <c r="B40" s="1">
        <v>2014</v>
      </c>
      <c r="C40" s="1" t="s">
        <v>37</v>
      </c>
      <c r="D40" s="8">
        <f>DATEVALUE(Main[[#This Row],[Month]]&amp;Main[[#This Row],[Year]])</f>
        <v>41640</v>
      </c>
      <c r="E40" s="1">
        <v>119.6</v>
      </c>
      <c r="F40" s="1">
        <v>118.8</v>
      </c>
      <c r="G40" s="1">
        <v>124.1</v>
      </c>
      <c r="H40" s="1">
        <v>114.1</v>
      </c>
      <c r="I40" s="1">
        <v>106.8</v>
      </c>
      <c r="J40" s="1">
        <v>113.9</v>
      </c>
      <c r="K40" s="1">
        <v>122.2</v>
      </c>
      <c r="L40" s="1">
        <v>108.9</v>
      </c>
      <c r="M40" s="1">
        <v>100.2</v>
      </c>
      <c r="N40" s="1">
        <v>111</v>
      </c>
      <c r="O40" s="1">
        <v>112.3</v>
      </c>
      <c r="P40" s="1">
        <v>118.1</v>
      </c>
      <c r="Q40" s="1">
        <v>115.8</v>
      </c>
      <c r="R40" s="1">
        <v>114.5</v>
      </c>
      <c r="S40" s="1">
        <v>115.8</v>
      </c>
      <c r="T40" s="1">
        <v>113.2</v>
      </c>
      <c r="U40" s="1">
        <v>115.4</v>
      </c>
      <c r="V40" s="1">
        <v>111.6</v>
      </c>
      <c r="W40" s="1">
        <v>112.2</v>
      </c>
      <c r="X40" s="1">
        <v>112.3</v>
      </c>
      <c r="Y40" s="1">
        <v>110.3</v>
      </c>
      <c r="Z40" s="1">
        <v>110.7</v>
      </c>
      <c r="AA40" s="1">
        <v>109.7</v>
      </c>
      <c r="AB40" s="1">
        <v>111.6</v>
      </c>
      <c r="AC40" s="1">
        <v>108.2</v>
      </c>
      <c r="AD40" s="1">
        <v>110.6</v>
      </c>
      <c r="AE40" s="1">
        <v>113.6</v>
      </c>
      <c r="AF40" s="6">
        <f t="shared" si="0"/>
        <v>114.29230769230767</v>
      </c>
      <c r="AG40" s="6">
        <f t="shared" si="1"/>
        <v>111.59999999999998</v>
      </c>
      <c r="AH40" s="6">
        <f t="shared" si="2"/>
        <v>114.8</v>
      </c>
      <c r="AI40" s="6">
        <f t="shared" si="3"/>
        <v>111.67999999999999</v>
      </c>
      <c r="AJ40" s="6">
        <f>IFERROR(AVERAGE(Main[[#This Row],[Health]],Main[[#This Row],[Personal care and effects]]),"NA")</f>
        <v>109.25</v>
      </c>
    </row>
    <row r="41" spans="1:36" ht="13.2" x14ac:dyDescent="0.25">
      <c r="A41" s="1" t="s">
        <v>36</v>
      </c>
      <c r="B41" s="1">
        <v>2014</v>
      </c>
      <c r="C41" s="1" t="s">
        <v>41</v>
      </c>
      <c r="D41" s="8">
        <f>DATEVALUE(Main[[#This Row],[Month]]&amp;Main[[#This Row],[Year]])</f>
        <v>41671</v>
      </c>
      <c r="E41" s="1">
        <v>119.4</v>
      </c>
      <c r="F41" s="1">
        <v>117.7</v>
      </c>
      <c r="G41" s="1">
        <v>121.2</v>
      </c>
      <c r="H41" s="1">
        <v>115</v>
      </c>
      <c r="I41" s="1">
        <v>109</v>
      </c>
      <c r="J41" s="1">
        <v>116.6</v>
      </c>
      <c r="K41" s="1">
        <v>116</v>
      </c>
      <c r="L41" s="1">
        <v>109.8</v>
      </c>
      <c r="M41" s="1">
        <v>101.1</v>
      </c>
      <c r="N41" s="1">
        <v>110.4</v>
      </c>
      <c r="O41" s="1">
        <v>112.9</v>
      </c>
      <c r="P41" s="1">
        <v>117.8</v>
      </c>
      <c r="Q41" s="1">
        <v>115.3</v>
      </c>
      <c r="R41" s="1">
        <v>114.2</v>
      </c>
      <c r="S41" s="1">
        <v>117.1</v>
      </c>
      <c r="T41" s="1">
        <v>114.5</v>
      </c>
      <c r="U41" s="1">
        <v>116.7</v>
      </c>
      <c r="V41" s="1" t="s">
        <v>38</v>
      </c>
      <c r="W41" s="1">
        <v>113.2</v>
      </c>
      <c r="X41" s="1">
        <v>112.9</v>
      </c>
      <c r="Y41" s="1">
        <v>110.9</v>
      </c>
      <c r="Z41" s="1">
        <v>110.8</v>
      </c>
      <c r="AA41" s="1">
        <v>109.9</v>
      </c>
      <c r="AB41" s="1">
        <v>112</v>
      </c>
      <c r="AC41" s="1">
        <v>108.7</v>
      </c>
      <c r="AD41" s="1">
        <v>110.9</v>
      </c>
      <c r="AE41" s="1">
        <v>114</v>
      </c>
      <c r="AF41" s="6">
        <f t="shared" si="0"/>
        <v>114.01538461538462</v>
      </c>
      <c r="AG41" s="6">
        <f t="shared" si="1"/>
        <v>111.66666666666667</v>
      </c>
      <c r="AH41" s="6">
        <f t="shared" si="2"/>
        <v>116.10000000000001</v>
      </c>
      <c r="AI41" s="6">
        <f t="shared" si="3"/>
        <v>112.22500000000001</v>
      </c>
      <c r="AJ41" s="6">
        <f>IFERROR(AVERAGE(Main[[#This Row],[Health]],Main[[#This Row],[Personal care and effects]]),"NA")</f>
        <v>109.80000000000001</v>
      </c>
    </row>
    <row r="42" spans="1:36" ht="13.2" x14ac:dyDescent="0.25">
      <c r="A42" s="1" t="s">
        <v>39</v>
      </c>
      <c r="B42" s="1">
        <v>2014</v>
      </c>
      <c r="C42" s="1" t="s">
        <v>41</v>
      </c>
      <c r="D42" s="8">
        <f>DATEVALUE(Main[[#This Row],[Month]]&amp;Main[[#This Row],[Year]])</f>
        <v>41671</v>
      </c>
      <c r="E42" s="1">
        <v>121.9</v>
      </c>
      <c r="F42" s="1">
        <v>122</v>
      </c>
      <c r="G42" s="1">
        <v>124.5</v>
      </c>
      <c r="H42" s="1">
        <v>115.2</v>
      </c>
      <c r="I42" s="1">
        <v>102.5</v>
      </c>
      <c r="J42" s="1">
        <v>114.1</v>
      </c>
      <c r="K42" s="1">
        <v>111.5</v>
      </c>
      <c r="L42" s="1">
        <v>108.2</v>
      </c>
      <c r="M42" s="1">
        <v>95.4</v>
      </c>
      <c r="N42" s="1">
        <v>113.5</v>
      </c>
      <c r="O42" s="1">
        <v>112.1</v>
      </c>
      <c r="P42" s="1">
        <v>119.9</v>
      </c>
      <c r="Q42" s="1">
        <v>115.2</v>
      </c>
      <c r="R42" s="1">
        <v>116.2</v>
      </c>
      <c r="S42" s="1">
        <v>115.3</v>
      </c>
      <c r="T42" s="1">
        <v>111.7</v>
      </c>
      <c r="U42" s="1">
        <v>114.7</v>
      </c>
      <c r="V42" s="1">
        <v>112.5</v>
      </c>
      <c r="W42" s="1">
        <v>111.1</v>
      </c>
      <c r="X42" s="1">
        <v>112.6</v>
      </c>
      <c r="Y42" s="1">
        <v>110.4</v>
      </c>
      <c r="Z42" s="1">
        <v>111.3</v>
      </c>
      <c r="AA42" s="1">
        <v>110.3</v>
      </c>
      <c r="AB42" s="1">
        <v>111.6</v>
      </c>
      <c r="AC42" s="1">
        <v>108.7</v>
      </c>
      <c r="AD42" s="1">
        <v>111</v>
      </c>
      <c r="AE42" s="1">
        <v>113.1</v>
      </c>
      <c r="AF42" s="6">
        <f t="shared" si="0"/>
        <v>113.53846153846153</v>
      </c>
      <c r="AG42" s="6">
        <f t="shared" si="1"/>
        <v>112.5</v>
      </c>
      <c r="AH42" s="6">
        <f t="shared" si="2"/>
        <v>113.89999999999999</v>
      </c>
      <c r="AI42" s="6">
        <f t="shared" si="3"/>
        <v>111.82000000000001</v>
      </c>
      <c r="AJ42" s="6">
        <f>IFERROR(AVERAGE(Main[[#This Row],[Health]],Main[[#This Row],[Personal care and effects]]),"NA")</f>
        <v>109.55000000000001</v>
      </c>
    </row>
    <row r="43" spans="1:36" ht="13.2" x14ac:dyDescent="0.25">
      <c r="A43" s="1" t="s">
        <v>40</v>
      </c>
      <c r="B43" s="1">
        <v>2014</v>
      </c>
      <c r="C43" s="1" t="s">
        <v>41</v>
      </c>
      <c r="D43" s="8">
        <f>DATEVALUE(Main[[#This Row],[Month]]&amp;Main[[#This Row],[Year]])</f>
        <v>41671</v>
      </c>
      <c r="E43" s="1">
        <v>120.2</v>
      </c>
      <c r="F43" s="1">
        <v>119.2</v>
      </c>
      <c r="G43" s="1">
        <v>122.5</v>
      </c>
      <c r="H43" s="1">
        <v>115.1</v>
      </c>
      <c r="I43" s="1">
        <v>106.6</v>
      </c>
      <c r="J43" s="1">
        <v>115.4</v>
      </c>
      <c r="K43" s="1">
        <v>114.5</v>
      </c>
      <c r="L43" s="1">
        <v>109.3</v>
      </c>
      <c r="M43" s="1">
        <v>99.2</v>
      </c>
      <c r="N43" s="1">
        <v>111.4</v>
      </c>
      <c r="O43" s="1">
        <v>112.6</v>
      </c>
      <c r="P43" s="1">
        <v>118.8</v>
      </c>
      <c r="Q43" s="1">
        <v>115.3</v>
      </c>
      <c r="R43" s="1">
        <v>114.7</v>
      </c>
      <c r="S43" s="1">
        <v>116.4</v>
      </c>
      <c r="T43" s="1">
        <v>113.3</v>
      </c>
      <c r="U43" s="1">
        <v>115.9</v>
      </c>
      <c r="V43" s="1">
        <v>112.5</v>
      </c>
      <c r="W43" s="1">
        <v>112.4</v>
      </c>
      <c r="X43" s="1">
        <v>112.8</v>
      </c>
      <c r="Y43" s="1">
        <v>110.7</v>
      </c>
      <c r="Z43" s="1">
        <v>111.1</v>
      </c>
      <c r="AA43" s="1">
        <v>110.1</v>
      </c>
      <c r="AB43" s="1">
        <v>111.8</v>
      </c>
      <c r="AC43" s="1">
        <v>108.7</v>
      </c>
      <c r="AD43" s="1">
        <v>110.9</v>
      </c>
      <c r="AE43" s="1">
        <v>113.6</v>
      </c>
      <c r="AF43" s="6">
        <f t="shared" si="0"/>
        <v>113.85384615384615</v>
      </c>
      <c r="AG43" s="6">
        <f t="shared" si="1"/>
        <v>111.90000000000002</v>
      </c>
      <c r="AH43" s="6">
        <f t="shared" si="2"/>
        <v>115.2</v>
      </c>
      <c r="AI43" s="6">
        <f t="shared" si="3"/>
        <v>112.11999999999998</v>
      </c>
      <c r="AJ43" s="6">
        <f>IFERROR(AVERAGE(Main[[#This Row],[Health]],Main[[#This Row],[Personal care and effects]]),"NA")</f>
        <v>109.7</v>
      </c>
    </row>
    <row r="44" spans="1:36" ht="13.2" x14ac:dyDescent="0.25">
      <c r="A44" s="1" t="s">
        <v>36</v>
      </c>
      <c r="B44" s="1">
        <v>2014</v>
      </c>
      <c r="C44" s="1" t="s">
        <v>42</v>
      </c>
      <c r="D44" s="8">
        <f>DATEVALUE(Main[[#This Row],[Month]]&amp;Main[[#This Row],[Year]])</f>
        <v>41699</v>
      </c>
      <c r="E44" s="1">
        <v>120.1</v>
      </c>
      <c r="F44" s="1">
        <v>118.1</v>
      </c>
      <c r="G44" s="1">
        <v>120.7</v>
      </c>
      <c r="H44" s="1">
        <v>116.1</v>
      </c>
      <c r="I44" s="1">
        <v>109.3</v>
      </c>
      <c r="J44" s="1">
        <v>119.6</v>
      </c>
      <c r="K44" s="1">
        <v>117.9</v>
      </c>
      <c r="L44" s="1">
        <v>110.2</v>
      </c>
      <c r="M44" s="1">
        <v>101.2</v>
      </c>
      <c r="N44" s="1">
        <v>110.7</v>
      </c>
      <c r="O44" s="1">
        <v>113</v>
      </c>
      <c r="P44" s="1">
        <v>118.3</v>
      </c>
      <c r="Q44" s="1">
        <v>116.2</v>
      </c>
      <c r="R44" s="1">
        <v>114.6</v>
      </c>
      <c r="S44" s="1">
        <v>117.5</v>
      </c>
      <c r="T44" s="1">
        <v>114.9</v>
      </c>
      <c r="U44" s="1">
        <v>117.2</v>
      </c>
      <c r="V44" s="1" t="s">
        <v>38</v>
      </c>
      <c r="W44" s="1">
        <v>113.4</v>
      </c>
      <c r="X44" s="1">
        <v>113.4</v>
      </c>
      <c r="Y44" s="1">
        <v>111.4</v>
      </c>
      <c r="Z44" s="1">
        <v>111.2</v>
      </c>
      <c r="AA44" s="1">
        <v>110.2</v>
      </c>
      <c r="AB44" s="1">
        <v>112.4</v>
      </c>
      <c r="AC44" s="1">
        <v>108.9</v>
      </c>
      <c r="AD44" s="1">
        <v>111.3</v>
      </c>
      <c r="AE44" s="1">
        <v>114.6</v>
      </c>
      <c r="AF44" s="6">
        <f t="shared" si="0"/>
        <v>114.72307692307693</v>
      </c>
      <c r="AG44" s="6">
        <f t="shared" si="1"/>
        <v>112.03333333333335</v>
      </c>
      <c r="AH44" s="6">
        <f t="shared" si="2"/>
        <v>116.53333333333335</v>
      </c>
      <c r="AI44" s="6">
        <f t="shared" si="3"/>
        <v>112.6</v>
      </c>
      <c r="AJ44" s="6">
        <f>IFERROR(AVERAGE(Main[[#This Row],[Health]],Main[[#This Row],[Personal care and effects]]),"NA")</f>
        <v>110.15</v>
      </c>
    </row>
    <row r="45" spans="1:36" ht="13.2" x14ac:dyDescent="0.25">
      <c r="A45" s="1" t="s">
        <v>39</v>
      </c>
      <c r="B45" s="1">
        <v>2014</v>
      </c>
      <c r="C45" s="1" t="s">
        <v>42</v>
      </c>
      <c r="D45" s="8">
        <f>DATEVALUE(Main[[#This Row],[Month]]&amp;Main[[#This Row],[Year]])</f>
        <v>41699</v>
      </c>
      <c r="E45" s="1">
        <v>122.1</v>
      </c>
      <c r="F45" s="1">
        <v>121.4</v>
      </c>
      <c r="G45" s="1">
        <v>121.5</v>
      </c>
      <c r="H45" s="1">
        <v>116.2</v>
      </c>
      <c r="I45" s="1">
        <v>102.8</v>
      </c>
      <c r="J45" s="1">
        <v>117.7</v>
      </c>
      <c r="K45" s="1">
        <v>113.3</v>
      </c>
      <c r="L45" s="1">
        <v>108.9</v>
      </c>
      <c r="M45" s="1">
        <v>96.3</v>
      </c>
      <c r="N45" s="1">
        <v>114.1</v>
      </c>
      <c r="O45" s="1">
        <v>112.2</v>
      </c>
      <c r="P45" s="1">
        <v>120.5</v>
      </c>
      <c r="Q45" s="1">
        <v>116</v>
      </c>
      <c r="R45" s="1">
        <v>116.7</v>
      </c>
      <c r="S45" s="1">
        <v>115.8</v>
      </c>
      <c r="T45" s="1">
        <v>112.1</v>
      </c>
      <c r="U45" s="1">
        <v>115.2</v>
      </c>
      <c r="V45" s="1">
        <v>113.2</v>
      </c>
      <c r="W45" s="1">
        <v>110.9</v>
      </c>
      <c r="X45" s="1">
        <v>113</v>
      </c>
      <c r="Y45" s="1">
        <v>110.8</v>
      </c>
      <c r="Z45" s="1">
        <v>111.6</v>
      </c>
      <c r="AA45" s="1">
        <v>110.9</v>
      </c>
      <c r="AB45" s="1">
        <v>111.8</v>
      </c>
      <c r="AC45" s="1">
        <v>109.2</v>
      </c>
      <c r="AD45" s="1">
        <v>111.4</v>
      </c>
      <c r="AE45" s="1">
        <v>113.7</v>
      </c>
      <c r="AF45" s="6">
        <f t="shared" si="0"/>
        <v>114.07692307692308</v>
      </c>
      <c r="AG45" s="6">
        <f t="shared" si="1"/>
        <v>113</v>
      </c>
      <c r="AH45" s="6">
        <f t="shared" si="2"/>
        <v>114.36666666666666</v>
      </c>
      <c r="AI45" s="6">
        <f t="shared" si="3"/>
        <v>112.1</v>
      </c>
      <c r="AJ45" s="6">
        <f>IFERROR(AVERAGE(Main[[#This Row],[Health]],Main[[#This Row],[Personal care and effects]]),"NA")</f>
        <v>110</v>
      </c>
    </row>
    <row r="46" spans="1:36" ht="13.2" x14ac:dyDescent="0.25">
      <c r="A46" s="1" t="s">
        <v>40</v>
      </c>
      <c r="B46" s="1">
        <v>2014</v>
      </c>
      <c r="C46" s="1" t="s">
        <v>42</v>
      </c>
      <c r="D46" s="8">
        <f>DATEVALUE(Main[[#This Row],[Month]]&amp;Main[[#This Row],[Year]])</f>
        <v>41699</v>
      </c>
      <c r="E46" s="1">
        <v>120.7</v>
      </c>
      <c r="F46" s="1">
        <v>119.3</v>
      </c>
      <c r="G46" s="1">
        <v>121</v>
      </c>
      <c r="H46" s="1">
        <v>116.1</v>
      </c>
      <c r="I46" s="1">
        <v>106.9</v>
      </c>
      <c r="J46" s="1">
        <v>118.7</v>
      </c>
      <c r="K46" s="1">
        <v>116.3</v>
      </c>
      <c r="L46" s="1">
        <v>109.8</v>
      </c>
      <c r="M46" s="1">
        <v>99.6</v>
      </c>
      <c r="N46" s="1">
        <v>111.8</v>
      </c>
      <c r="O46" s="1">
        <v>112.7</v>
      </c>
      <c r="P46" s="1">
        <v>119.3</v>
      </c>
      <c r="Q46" s="1">
        <v>116.1</v>
      </c>
      <c r="R46" s="1">
        <v>115.2</v>
      </c>
      <c r="S46" s="1">
        <v>116.8</v>
      </c>
      <c r="T46" s="1">
        <v>113.7</v>
      </c>
      <c r="U46" s="1">
        <v>116.4</v>
      </c>
      <c r="V46" s="1">
        <v>113.2</v>
      </c>
      <c r="W46" s="1">
        <v>112.5</v>
      </c>
      <c r="X46" s="1">
        <v>113.2</v>
      </c>
      <c r="Y46" s="1">
        <v>111.2</v>
      </c>
      <c r="Z46" s="1">
        <v>111.4</v>
      </c>
      <c r="AA46" s="1">
        <v>110.6</v>
      </c>
      <c r="AB46" s="1">
        <v>112</v>
      </c>
      <c r="AC46" s="1">
        <v>109</v>
      </c>
      <c r="AD46" s="1">
        <v>111.3</v>
      </c>
      <c r="AE46" s="1">
        <v>114.2</v>
      </c>
      <c r="AF46" s="6">
        <f t="shared" si="0"/>
        <v>114.48461538461537</v>
      </c>
      <c r="AG46" s="6">
        <f t="shared" si="1"/>
        <v>112.36666666666667</v>
      </c>
      <c r="AH46" s="6">
        <f t="shared" si="2"/>
        <v>115.63333333333333</v>
      </c>
      <c r="AI46" s="6">
        <f t="shared" si="3"/>
        <v>112.46</v>
      </c>
      <c r="AJ46" s="6">
        <f>IFERROR(AVERAGE(Main[[#This Row],[Health]],Main[[#This Row],[Personal care and effects]]),"NA")</f>
        <v>110.1</v>
      </c>
    </row>
    <row r="47" spans="1:36" ht="13.2" x14ac:dyDescent="0.25">
      <c r="A47" s="1" t="s">
        <v>36</v>
      </c>
      <c r="B47" s="1">
        <v>2014</v>
      </c>
      <c r="C47" s="1" t="s">
        <v>43</v>
      </c>
      <c r="D47" s="8">
        <f>DATEVALUE(Main[[#This Row],[Month]]&amp;Main[[#This Row],[Year]])</f>
        <v>41730</v>
      </c>
      <c r="E47" s="1">
        <v>120.2</v>
      </c>
      <c r="F47" s="1">
        <v>118.9</v>
      </c>
      <c r="G47" s="1">
        <v>118.1</v>
      </c>
      <c r="H47" s="1">
        <v>117</v>
      </c>
      <c r="I47" s="1">
        <v>109.7</v>
      </c>
      <c r="J47" s="1">
        <v>125.5</v>
      </c>
      <c r="K47" s="1">
        <v>120.5</v>
      </c>
      <c r="L47" s="1">
        <v>111</v>
      </c>
      <c r="M47" s="1">
        <v>102.6</v>
      </c>
      <c r="N47" s="1">
        <v>111.2</v>
      </c>
      <c r="O47" s="1">
        <v>113.5</v>
      </c>
      <c r="P47" s="1">
        <v>118.7</v>
      </c>
      <c r="Q47" s="1">
        <v>117.2</v>
      </c>
      <c r="R47" s="1">
        <v>115.4</v>
      </c>
      <c r="S47" s="1">
        <v>118.1</v>
      </c>
      <c r="T47" s="1">
        <v>116.1</v>
      </c>
      <c r="U47" s="1">
        <v>117.8</v>
      </c>
      <c r="V47" s="1" t="s">
        <v>38</v>
      </c>
      <c r="W47" s="1">
        <v>113.4</v>
      </c>
      <c r="X47" s="1">
        <v>113.7</v>
      </c>
      <c r="Y47" s="1">
        <v>111.8</v>
      </c>
      <c r="Z47" s="1">
        <v>111.2</v>
      </c>
      <c r="AA47" s="1">
        <v>110.5</v>
      </c>
      <c r="AB47" s="1">
        <v>113</v>
      </c>
      <c r="AC47" s="1">
        <v>108.9</v>
      </c>
      <c r="AD47" s="1">
        <v>111.5</v>
      </c>
      <c r="AE47" s="1">
        <v>115.4</v>
      </c>
      <c r="AF47" s="6">
        <f t="shared" si="0"/>
        <v>115.70000000000002</v>
      </c>
      <c r="AG47" s="6">
        <f t="shared" si="1"/>
        <v>112.46666666666665</v>
      </c>
      <c r="AH47" s="6">
        <f t="shared" si="2"/>
        <v>117.33333333333333</v>
      </c>
      <c r="AI47" s="6">
        <f t="shared" si="3"/>
        <v>112.825</v>
      </c>
      <c r="AJ47" s="6">
        <f>IFERROR(AVERAGE(Main[[#This Row],[Health]],Main[[#This Row],[Personal care and effects]]),"NA")</f>
        <v>110.35</v>
      </c>
    </row>
    <row r="48" spans="1:36" ht="13.2" x14ac:dyDescent="0.25">
      <c r="A48" s="1" t="s">
        <v>39</v>
      </c>
      <c r="B48" s="1">
        <v>2014</v>
      </c>
      <c r="C48" s="1" t="s">
        <v>43</v>
      </c>
      <c r="D48" s="8">
        <f>DATEVALUE(Main[[#This Row],[Month]]&amp;Main[[#This Row],[Year]])</f>
        <v>41730</v>
      </c>
      <c r="E48" s="1">
        <v>122.5</v>
      </c>
      <c r="F48" s="1">
        <v>121.7</v>
      </c>
      <c r="G48" s="1">
        <v>113.3</v>
      </c>
      <c r="H48" s="1">
        <v>117</v>
      </c>
      <c r="I48" s="1">
        <v>103.1</v>
      </c>
      <c r="J48" s="1">
        <v>126.7</v>
      </c>
      <c r="K48" s="1">
        <v>121.2</v>
      </c>
      <c r="L48" s="1">
        <v>111</v>
      </c>
      <c r="M48" s="1">
        <v>100.3</v>
      </c>
      <c r="N48" s="1">
        <v>115.3</v>
      </c>
      <c r="O48" s="1">
        <v>112.7</v>
      </c>
      <c r="P48" s="1">
        <v>121</v>
      </c>
      <c r="Q48" s="1">
        <v>118.2</v>
      </c>
      <c r="R48" s="1">
        <v>117.6</v>
      </c>
      <c r="S48" s="1">
        <v>116.3</v>
      </c>
      <c r="T48" s="1">
        <v>112.5</v>
      </c>
      <c r="U48" s="1">
        <v>115.7</v>
      </c>
      <c r="V48" s="1">
        <v>113.9</v>
      </c>
      <c r="W48" s="1">
        <v>110.9</v>
      </c>
      <c r="X48" s="1">
        <v>113.4</v>
      </c>
      <c r="Y48" s="1">
        <v>111</v>
      </c>
      <c r="Z48" s="1">
        <v>111.2</v>
      </c>
      <c r="AA48" s="1">
        <v>111.2</v>
      </c>
      <c r="AB48" s="1">
        <v>112.5</v>
      </c>
      <c r="AC48" s="1">
        <v>109.1</v>
      </c>
      <c r="AD48" s="1">
        <v>111.4</v>
      </c>
      <c r="AE48" s="1">
        <v>114.7</v>
      </c>
      <c r="AF48" s="6">
        <f t="shared" si="0"/>
        <v>115.69230769230771</v>
      </c>
      <c r="AG48" s="6">
        <f t="shared" si="1"/>
        <v>113.40000000000002</v>
      </c>
      <c r="AH48" s="6">
        <f t="shared" si="2"/>
        <v>114.83333333333333</v>
      </c>
      <c r="AI48" s="6">
        <f t="shared" si="3"/>
        <v>112.38000000000002</v>
      </c>
      <c r="AJ48" s="6">
        <f>IFERROR(AVERAGE(Main[[#This Row],[Health]],Main[[#This Row],[Personal care and effects]]),"NA")</f>
        <v>110.05</v>
      </c>
    </row>
    <row r="49" spans="1:36" ht="13.2" x14ac:dyDescent="0.25">
      <c r="A49" s="1" t="s">
        <v>40</v>
      </c>
      <c r="B49" s="1">
        <v>2014</v>
      </c>
      <c r="C49" s="1" t="s">
        <v>43</v>
      </c>
      <c r="D49" s="8">
        <f>DATEVALUE(Main[[#This Row],[Month]]&amp;Main[[#This Row],[Year]])</f>
        <v>41730</v>
      </c>
      <c r="E49" s="1">
        <v>120.9</v>
      </c>
      <c r="F49" s="1">
        <v>119.9</v>
      </c>
      <c r="G49" s="1">
        <v>116.2</v>
      </c>
      <c r="H49" s="1">
        <v>117</v>
      </c>
      <c r="I49" s="1">
        <v>107.3</v>
      </c>
      <c r="J49" s="1">
        <v>126.1</v>
      </c>
      <c r="K49" s="1">
        <v>120.7</v>
      </c>
      <c r="L49" s="1">
        <v>111</v>
      </c>
      <c r="M49" s="1">
        <v>101.8</v>
      </c>
      <c r="N49" s="1">
        <v>112.6</v>
      </c>
      <c r="O49" s="1">
        <v>113.2</v>
      </c>
      <c r="P49" s="1">
        <v>119.8</v>
      </c>
      <c r="Q49" s="1">
        <v>117.6</v>
      </c>
      <c r="R49" s="1">
        <v>116</v>
      </c>
      <c r="S49" s="1">
        <v>117.4</v>
      </c>
      <c r="T49" s="1">
        <v>114.6</v>
      </c>
      <c r="U49" s="1">
        <v>117</v>
      </c>
      <c r="V49" s="1">
        <v>113.9</v>
      </c>
      <c r="W49" s="1">
        <v>112.5</v>
      </c>
      <c r="X49" s="1">
        <v>113.6</v>
      </c>
      <c r="Y49" s="1">
        <v>111.5</v>
      </c>
      <c r="Z49" s="1">
        <v>111.2</v>
      </c>
      <c r="AA49" s="1">
        <v>110.9</v>
      </c>
      <c r="AB49" s="1">
        <v>112.7</v>
      </c>
      <c r="AC49" s="1">
        <v>109</v>
      </c>
      <c r="AD49" s="1">
        <v>111.5</v>
      </c>
      <c r="AE49" s="1">
        <v>115.1</v>
      </c>
      <c r="AF49" s="6">
        <f t="shared" si="0"/>
        <v>115.69999999999999</v>
      </c>
      <c r="AG49" s="6">
        <f t="shared" si="1"/>
        <v>112.8</v>
      </c>
      <c r="AH49" s="6">
        <f t="shared" si="2"/>
        <v>116.33333333333333</v>
      </c>
      <c r="AI49" s="6">
        <f t="shared" si="3"/>
        <v>112.78</v>
      </c>
      <c r="AJ49" s="6">
        <f>IFERROR(AVERAGE(Main[[#This Row],[Health]],Main[[#This Row],[Personal care and effects]]),"NA")</f>
        <v>110.25</v>
      </c>
    </row>
    <row r="50" spans="1:36" ht="13.2" x14ac:dyDescent="0.25">
      <c r="A50" s="1" t="s">
        <v>36</v>
      </c>
      <c r="B50" s="1">
        <v>2014</v>
      </c>
      <c r="C50" s="1" t="s">
        <v>44</v>
      </c>
      <c r="D50" s="8">
        <f>DATEVALUE(Main[[#This Row],[Month]]&amp;Main[[#This Row],[Year]])</f>
        <v>41760</v>
      </c>
      <c r="E50" s="1">
        <v>120.3</v>
      </c>
      <c r="F50" s="1">
        <v>120.2</v>
      </c>
      <c r="G50" s="1">
        <v>116.9</v>
      </c>
      <c r="H50" s="1">
        <v>118</v>
      </c>
      <c r="I50" s="1">
        <v>110.1</v>
      </c>
      <c r="J50" s="1">
        <v>126.3</v>
      </c>
      <c r="K50" s="1">
        <v>123.9</v>
      </c>
      <c r="L50" s="1">
        <v>111.5</v>
      </c>
      <c r="M50" s="1">
        <v>103.5</v>
      </c>
      <c r="N50" s="1">
        <v>111.6</v>
      </c>
      <c r="O50" s="1">
        <v>114.2</v>
      </c>
      <c r="P50" s="1">
        <v>119.2</v>
      </c>
      <c r="Q50" s="1">
        <v>118.2</v>
      </c>
      <c r="R50" s="1">
        <v>116.3</v>
      </c>
      <c r="S50" s="1">
        <v>118.7</v>
      </c>
      <c r="T50" s="1">
        <v>116.8</v>
      </c>
      <c r="U50" s="1">
        <v>118.5</v>
      </c>
      <c r="V50" s="1" t="s">
        <v>38</v>
      </c>
      <c r="W50" s="1">
        <v>113.4</v>
      </c>
      <c r="X50" s="1">
        <v>114.1</v>
      </c>
      <c r="Y50" s="1">
        <v>112.1</v>
      </c>
      <c r="Z50" s="1">
        <v>111.4</v>
      </c>
      <c r="AA50" s="1">
        <v>110.9</v>
      </c>
      <c r="AB50" s="1">
        <v>113.1</v>
      </c>
      <c r="AC50" s="1">
        <v>108.9</v>
      </c>
      <c r="AD50" s="1">
        <v>111.8</v>
      </c>
      <c r="AE50" s="1">
        <v>116</v>
      </c>
      <c r="AF50" s="6">
        <f t="shared" si="0"/>
        <v>116.45384615384614</v>
      </c>
      <c r="AG50" s="6">
        <f t="shared" si="1"/>
        <v>113</v>
      </c>
      <c r="AH50" s="6">
        <f t="shared" si="2"/>
        <v>118</v>
      </c>
      <c r="AI50" s="6">
        <f t="shared" si="3"/>
        <v>113</v>
      </c>
      <c r="AJ50" s="6">
        <f>IFERROR(AVERAGE(Main[[#This Row],[Health]],Main[[#This Row],[Personal care and effects]]),"NA")</f>
        <v>110.5</v>
      </c>
    </row>
    <row r="51" spans="1:36" ht="13.2" x14ac:dyDescent="0.25">
      <c r="A51" s="1" t="s">
        <v>39</v>
      </c>
      <c r="B51" s="1">
        <v>2014</v>
      </c>
      <c r="C51" s="1" t="s">
        <v>44</v>
      </c>
      <c r="D51" s="8">
        <f>DATEVALUE(Main[[#This Row],[Month]]&amp;Main[[#This Row],[Year]])</f>
        <v>41760</v>
      </c>
      <c r="E51" s="1">
        <v>122.7</v>
      </c>
      <c r="F51" s="1">
        <v>124.1</v>
      </c>
      <c r="G51" s="1">
        <v>114.2</v>
      </c>
      <c r="H51" s="1">
        <v>119.1</v>
      </c>
      <c r="I51" s="1">
        <v>103.5</v>
      </c>
      <c r="J51" s="1">
        <v>129.19999999999999</v>
      </c>
      <c r="K51" s="1">
        <v>127</v>
      </c>
      <c r="L51" s="1">
        <v>112.6</v>
      </c>
      <c r="M51" s="1">
        <v>101.3</v>
      </c>
      <c r="N51" s="1">
        <v>117</v>
      </c>
      <c r="O51" s="1">
        <v>112.9</v>
      </c>
      <c r="P51" s="1">
        <v>121.7</v>
      </c>
      <c r="Q51" s="1">
        <v>120</v>
      </c>
      <c r="R51" s="1">
        <v>118.3</v>
      </c>
      <c r="S51" s="1">
        <v>116.8</v>
      </c>
      <c r="T51" s="1">
        <v>112.9</v>
      </c>
      <c r="U51" s="1">
        <v>116.2</v>
      </c>
      <c r="V51" s="1">
        <v>114.3</v>
      </c>
      <c r="W51" s="1">
        <v>111.1</v>
      </c>
      <c r="X51" s="1">
        <v>114.1</v>
      </c>
      <c r="Y51" s="1">
        <v>111.2</v>
      </c>
      <c r="Z51" s="1">
        <v>111.3</v>
      </c>
      <c r="AA51" s="1">
        <v>111.5</v>
      </c>
      <c r="AB51" s="1">
        <v>112.9</v>
      </c>
      <c r="AC51" s="1">
        <v>109.3</v>
      </c>
      <c r="AD51" s="1">
        <v>111.7</v>
      </c>
      <c r="AE51" s="1">
        <v>115.6</v>
      </c>
      <c r="AF51" s="6">
        <f t="shared" si="0"/>
        <v>117.33076923076925</v>
      </c>
      <c r="AG51" s="6">
        <f t="shared" si="1"/>
        <v>113.83333333333333</v>
      </c>
      <c r="AH51" s="6">
        <f t="shared" si="2"/>
        <v>115.3</v>
      </c>
      <c r="AI51" s="6">
        <f t="shared" si="3"/>
        <v>112.74000000000001</v>
      </c>
      <c r="AJ51" s="6">
        <f>IFERROR(AVERAGE(Main[[#This Row],[Health]],Main[[#This Row],[Personal care and effects]]),"NA")</f>
        <v>110.25</v>
      </c>
    </row>
    <row r="52" spans="1:36" ht="13.2" x14ac:dyDescent="0.25">
      <c r="A52" s="1" t="s">
        <v>40</v>
      </c>
      <c r="B52" s="1">
        <v>2014</v>
      </c>
      <c r="C52" s="1" t="s">
        <v>44</v>
      </c>
      <c r="D52" s="8">
        <f>DATEVALUE(Main[[#This Row],[Month]]&amp;Main[[#This Row],[Year]])</f>
        <v>41760</v>
      </c>
      <c r="E52" s="1">
        <v>121.1</v>
      </c>
      <c r="F52" s="1">
        <v>121.6</v>
      </c>
      <c r="G52" s="1">
        <v>115.9</v>
      </c>
      <c r="H52" s="1">
        <v>118.4</v>
      </c>
      <c r="I52" s="1">
        <v>107.7</v>
      </c>
      <c r="J52" s="1">
        <v>127.7</v>
      </c>
      <c r="K52" s="1">
        <v>125</v>
      </c>
      <c r="L52" s="1">
        <v>111.9</v>
      </c>
      <c r="M52" s="1">
        <v>102.8</v>
      </c>
      <c r="N52" s="1">
        <v>113.4</v>
      </c>
      <c r="O52" s="1">
        <v>113.7</v>
      </c>
      <c r="P52" s="1">
        <v>120.4</v>
      </c>
      <c r="Q52" s="1">
        <v>118.9</v>
      </c>
      <c r="R52" s="1">
        <v>116.8</v>
      </c>
      <c r="S52" s="1">
        <v>118</v>
      </c>
      <c r="T52" s="1">
        <v>115.2</v>
      </c>
      <c r="U52" s="1">
        <v>117.6</v>
      </c>
      <c r="V52" s="1">
        <v>114.3</v>
      </c>
      <c r="W52" s="1">
        <v>112.5</v>
      </c>
      <c r="X52" s="1">
        <v>114.1</v>
      </c>
      <c r="Y52" s="1">
        <v>111.8</v>
      </c>
      <c r="Z52" s="1">
        <v>111.3</v>
      </c>
      <c r="AA52" s="1">
        <v>111.2</v>
      </c>
      <c r="AB52" s="1">
        <v>113</v>
      </c>
      <c r="AC52" s="1">
        <v>109.1</v>
      </c>
      <c r="AD52" s="1">
        <v>111.8</v>
      </c>
      <c r="AE52" s="1">
        <v>115.8</v>
      </c>
      <c r="AF52" s="6">
        <f t="shared" si="0"/>
        <v>116.80769230769235</v>
      </c>
      <c r="AG52" s="6">
        <f t="shared" si="1"/>
        <v>113.26666666666667</v>
      </c>
      <c r="AH52" s="6">
        <f t="shared" si="2"/>
        <v>116.93333333333332</v>
      </c>
      <c r="AI52" s="6">
        <f t="shared" si="3"/>
        <v>113.04</v>
      </c>
      <c r="AJ52" s="6">
        <f>IFERROR(AVERAGE(Main[[#This Row],[Health]],Main[[#This Row],[Personal care and effects]]),"NA")</f>
        <v>110.44999999999999</v>
      </c>
    </row>
    <row r="53" spans="1:36" ht="13.2" x14ac:dyDescent="0.25">
      <c r="A53" s="1" t="s">
        <v>36</v>
      </c>
      <c r="B53" s="1">
        <v>2014</v>
      </c>
      <c r="C53" s="1" t="s">
        <v>45</v>
      </c>
      <c r="D53" s="8">
        <f>DATEVALUE(Main[[#This Row],[Month]]&amp;Main[[#This Row],[Year]])</f>
        <v>41791</v>
      </c>
      <c r="E53" s="1">
        <v>120.7</v>
      </c>
      <c r="F53" s="1">
        <v>121.6</v>
      </c>
      <c r="G53" s="1">
        <v>116.1</v>
      </c>
      <c r="H53" s="1">
        <v>119.3</v>
      </c>
      <c r="I53" s="1">
        <v>110.3</v>
      </c>
      <c r="J53" s="1">
        <v>125.8</v>
      </c>
      <c r="K53" s="1">
        <v>129.30000000000001</v>
      </c>
      <c r="L53" s="1">
        <v>112.2</v>
      </c>
      <c r="M53" s="1">
        <v>103.6</v>
      </c>
      <c r="N53" s="1">
        <v>112.3</v>
      </c>
      <c r="O53" s="1">
        <v>114.9</v>
      </c>
      <c r="P53" s="1">
        <v>120.1</v>
      </c>
      <c r="Q53" s="1">
        <v>119.5</v>
      </c>
      <c r="R53" s="1">
        <v>117.3</v>
      </c>
      <c r="S53" s="1">
        <v>119.7</v>
      </c>
      <c r="T53" s="1">
        <v>117.3</v>
      </c>
      <c r="U53" s="1">
        <v>119.3</v>
      </c>
      <c r="V53" s="1" t="s">
        <v>38</v>
      </c>
      <c r="W53" s="1">
        <v>114.4</v>
      </c>
      <c r="X53" s="1">
        <v>114.9</v>
      </c>
      <c r="Y53" s="1">
        <v>112.8</v>
      </c>
      <c r="Z53" s="1">
        <v>112.2</v>
      </c>
      <c r="AA53" s="1">
        <v>111.4</v>
      </c>
      <c r="AB53" s="1">
        <v>114.3</v>
      </c>
      <c r="AC53" s="1">
        <v>108</v>
      </c>
      <c r="AD53" s="1">
        <v>112.3</v>
      </c>
      <c r="AE53" s="1">
        <v>117</v>
      </c>
      <c r="AF53" s="6">
        <f t="shared" si="0"/>
        <v>117.36153846153844</v>
      </c>
      <c r="AG53" s="6">
        <f t="shared" si="1"/>
        <v>113.66666666666667</v>
      </c>
      <c r="AH53" s="6">
        <f t="shared" si="2"/>
        <v>118.76666666666667</v>
      </c>
      <c r="AI53" s="6">
        <f t="shared" si="3"/>
        <v>113.95</v>
      </c>
      <c r="AJ53" s="6">
        <f>IFERROR(AVERAGE(Main[[#This Row],[Health]],Main[[#This Row],[Personal care and effects]]),"NA")</f>
        <v>110.4</v>
      </c>
    </row>
    <row r="54" spans="1:36" ht="13.2" x14ac:dyDescent="0.25">
      <c r="A54" s="1" t="s">
        <v>39</v>
      </c>
      <c r="B54" s="1">
        <v>2014</v>
      </c>
      <c r="C54" s="1" t="s">
        <v>45</v>
      </c>
      <c r="D54" s="8">
        <f>DATEVALUE(Main[[#This Row],[Month]]&amp;Main[[#This Row],[Year]])</f>
        <v>41791</v>
      </c>
      <c r="E54" s="1">
        <v>123.1</v>
      </c>
      <c r="F54" s="1">
        <v>125.9</v>
      </c>
      <c r="G54" s="1">
        <v>115.4</v>
      </c>
      <c r="H54" s="1">
        <v>120.4</v>
      </c>
      <c r="I54" s="1">
        <v>103.4</v>
      </c>
      <c r="J54" s="1">
        <v>131.19999999999999</v>
      </c>
      <c r="K54" s="1">
        <v>137.5</v>
      </c>
      <c r="L54" s="1">
        <v>112.8</v>
      </c>
      <c r="M54" s="1">
        <v>101.4</v>
      </c>
      <c r="N54" s="1">
        <v>118.3</v>
      </c>
      <c r="O54" s="1">
        <v>113.2</v>
      </c>
      <c r="P54" s="1">
        <v>122.4</v>
      </c>
      <c r="Q54" s="1">
        <v>122</v>
      </c>
      <c r="R54" s="1">
        <v>119</v>
      </c>
      <c r="S54" s="1">
        <v>117.4</v>
      </c>
      <c r="T54" s="1">
        <v>113.2</v>
      </c>
      <c r="U54" s="1">
        <v>116.7</v>
      </c>
      <c r="V54" s="1">
        <v>113.9</v>
      </c>
      <c r="W54" s="1">
        <v>111.2</v>
      </c>
      <c r="X54" s="1">
        <v>114.3</v>
      </c>
      <c r="Y54" s="1">
        <v>111.4</v>
      </c>
      <c r="Z54" s="1">
        <v>111.5</v>
      </c>
      <c r="AA54" s="1">
        <v>111.8</v>
      </c>
      <c r="AB54" s="1">
        <v>115.1</v>
      </c>
      <c r="AC54" s="1">
        <v>108.7</v>
      </c>
      <c r="AD54" s="1">
        <v>112.2</v>
      </c>
      <c r="AE54" s="1">
        <v>116.4</v>
      </c>
      <c r="AF54" s="6">
        <f t="shared" si="0"/>
        <v>119</v>
      </c>
      <c r="AG54" s="6">
        <f t="shared" si="1"/>
        <v>114.33333333333333</v>
      </c>
      <c r="AH54" s="6">
        <f t="shared" si="2"/>
        <v>115.76666666666667</v>
      </c>
      <c r="AI54" s="6">
        <f t="shared" si="3"/>
        <v>113.2</v>
      </c>
      <c r="AJ54" s="6">
        <f>IFERROR(AVERAGE(Main[[#This Row],[Health]],Main[[#This Row],[Personal care and effects]]),"NA")</f>
        <v>110.05000000000001</v>
      </c>
    </row>
    <row r="55" spans="1:36" ht="13.2" x14ac:dyDescent="0.25">
      <c r="A55" s="1" t="s">
        <v>40</v>
      </c>
      <c r="B55" s="1">
        <v>2014</v>
      </c>
      <c r="C55" s="1" t="s">
        <v>45</v>
      </c>
      <c r="D55" s="8">
        <f>DATEVALUE(Main[[#This Row],[Month]]&amp;Main[[#This Row],[Year]])</f>
        <v>41791</v>
      </c>
      <c r="E55" s="1">
        <v>121.5</v>
      </c>
      <c r="F55" s="1">
        <v>123.1</v>
      </c>
      <c r="G55" s="1">
        <v>115.8</v>
      </c>
      <c r="H55" s="1">
        <v>119.7</v>
      </c>
      <c r="I55" s="1">
        <v>107.8</v>
      </c>
      <c r="J55" s="1">
        <v>128.30000000000001</v>
      </c>
      <c r="K55" s="1">
        <v>132.1</v>
      </c>
      <c r="L55" s="1">
        <v>112.4</v>
      </c>
      <c r="M55" s="1">
        <v>102.9</v>
      </c>
      <c r="N55" s="1">
        <v>114.3</v>
      </c>
      <c r="O55" s="1">
        <v>114.2</v>
      </c>
      <c r="P55" s="1">
        <v>121.2</v>
      </c>
      <c r="Q55" s="1">
        <v>120.4</v>
      </c>
      <c r="R55" s="1">
        <v>117.8</v>
      </c>
      <c r="S55" s="1">
        <v>118.8</v>
      </c>
      <c r="T55" s="1">
        <v>115.6</v>
      </c>
      <c r="U55" s="1">
        <v>118.3</v>
      </c>
      <c r="V55" s="1">
        <v>113.9</v>
      </c>
      <c r="W55" s="1">
        <v>113.2</v>
      </c>
      <c r="X55" s="1">
        <v>114.6</v>
      </c>
      <c r="Y55" s="1">
        <v>112.3</v>
      </c>
      <c r="Z55" s="1">
        <v>111.8</v>
      </c>
      <c r="AA55" s="1">
        <v>111.6</v>
      </c>
      <c r="AB55" s="1">
        <v>114.8</v>
      </c>
      <c r="AC55" s="1">
        <v>108.3</v>
      </c>
      <c r="AD55" s="1">
        <v>112.3</v>
      </c>
      <c r="AE55" s="1">
        <v>116.7</v>
      </c>
      <c r="AF55" s="6">
        <f t="shared" si="0"/>
        <v>117.9769230769231</v>
      </c>
      <c r="AG55" s="6">
        <f t="shared" si="1"/>
        <v>113.89999999999999</v>
      </c>
      <c r="AH55" s="6">
        <f t="shared" si="2"/>
        <v>117.56666666666666</v>
      </c>
      <c r="AI55" s="6">
        <f t="shared" si="3"/>
        <v>113.66000000000001</v>
      </c>
      <c r="AJ55" s="6">
        <f>IFERROR(AVERAGE(Main[[#This Row],[Health]],Main[[#This Row],[Personal care and effects]]),"NA")</f>
        <v>110.3</v>
      </c>
    </row>
    <row r="56" spans="1:36" ht="13.2" x14ac:dyDescent="0.25">
      <c r="A56" s="1" t="s">
        <v>36</v>
      </c>
      <c r="B56" s="1">
        <v>2014</v>
      </c>
      <c r="C56" s="1" t="s">
        <v>46</v>
      </c>
      <c r="D56" s="8">
        <f>DATEVALUE(Main[[#This Row],[Month]]&amp;Main[[#This Row],[Year]])</f>
        <v>41821</v>
      </c>
      <c r="E56" s="1">
        <v>121.7</v>
      </c>
      <c r="F56" s="1">
        <v>122.5</v>
      </c>
      <c r="G56" s="1">
        <v>117.7</v>
      </c>
      <c r="H56" s="1">
        <v>120.6</v>
      </c>
      <c r="I56" s="1">
        <v>110.4</v>
      </c>
      <c r="J56" s="1">
        <v>129.1</v>
      </c>
      <c r="K56" s="1">
        <v>150.1</v>
      </c>
      <c r="L56" s="1">
        <v>113.2</v>
      </c>
      <c r="M56" s="1">
        <v>104.8</v>
      </c>
      <c r="N56" s="1">
        <v>113.3</v>
      </c>
      <c r="O56" s="1">
        <v>115.6</v>
      </c>
      <c r="P56" s="1">
        <v>120.9</v>
      </c>
      <c r="Q56" s="1">
        <v>123.3</v>
      </c>
      <c r="R56" s="1">
        <v>118</v>
      </c>
      <c r="S56" s="1">
        <v>120.7</v>
      </c>
      <c r="T56" s="1">
        <v>118.3</v>
      </c>
      <c r="U56" s="1">
        <v>120.3</v>
      </c>
      <c r="V56" s="1" t="s">
        <v>38</v>
      </c>
      <c r="W56" s="1">
        <v>115.3</v>
      </c>
      <c r="X56" s="1">
        <v>115.4</v>
      </c>
      <c r="Y56" s="1">
        <v>113.4</v>
      </c>
      <c r="Z56" s="1">
        <v>113.2</v>
      </c>
      <c r="AA56" s="1">
        <v>111.8</v>
      </c>
      <c r="AB56" s="1">
        <v>115.5</v>
      </c>
      <c r="AC56" s="1">
        <v>108.8</v>
      </c>
      <c r="AD56" s="1">
        <v>113.1</v>
      </c>
      <c r="AE56" s="1">
        <v>119.5</v>
      </c>
      <c r="AF56" s="6">
        <f t="shared" si="0"/>
        <v>120.24615384615385</v>
      </c>
      <c r="AG56" s="6">
        <f t="shared" si="1"/>
        <v>114.3</v>
      </c>
      <c r="AH56" s="6">
        <f t="shared" si="2"/>
        <v>119.76666666666667</v>
      </c>
      <c r="AI56" s="6">
        <f t="shared" si="3"/>
        <v>114.85</v>
      </c>
      <c r="AJ56" s="6">
        <f>IFERROR(AVERAGE(Main[[#This Row],[Health]],Main[[#This Row],[Personal care and effects]]),"NA")</f>
        <v>111.1</v>
      </c>
    </row>
    <row r="57" spans="1:36" ht="13.2" x14ac:dyDescent="0.25">
      <c r="A57" s="1" t="s">
        <v>39</v>
      </c>
      <c r="B57" s="1">
        <v>2014</v>
      </c>
      <c r="C57" s="1" t="s">
        <v>46</v>
      </c>
      <c r="D57" s="8">
        <f>DATEVALUE(Main[[#This Row],[Month]]&amp;Main[[#This Row],[Year]])</f>
        <v>41821</v>
      </c>
      <c r="E57" s="1">
        <v>123.8</v>
      </c>
      <c r="F57" s="1">
        <v>126.4</v>
      </c>
      <c r="G57" s="1">
        <v>118</v>
      </c>
      <c r="H57" s="1">
        <v>121.6</v>
      </c>
      <c r="I57" s="1">
        <v>103.5</v>
      </c>
      <c r="J57" s="1">
        <v>133.69999999999999</v>
      </c>
      <c r="K57" s="1">
        <v>172.4</v>
      </c>
      <c r="L57" s="1">
        <v>113.1</v>
      </c>
      <c r="M57" s="1">
        <v>102.7</v>
      </c>
      <c r="N57" s="1">
        <v>120</v>
      </c>
      <c r="O57" s="1">
        <v>113.8</v>
      </c>
      <c r="P57" s="1">
        <v>123.4</v>
      </c>
      <c r="Q57" s="1">
        <v>127.1</v>
      </c>
      <c r="R57" s="1">
        <v>121</v>
      </c>
      <c r="S57" s="1">
        <v>118</v>
      </c>
      <c r="T57" s="1">
        <v>113.6</v>
      </c>
      <c r="U57" s="1">
        <v>117.4</v>
      </c>
      <c r="V57" s="1">
        <v>114.8</v>
      </c>
      <c r="W57" s="1">
        <v>111.6</v>
      </c>
      <c r="X57" s="1">
        <v>114.9</v>
      </c>
      <c r="Y57" s="1">
        <v>111.5</v>
      </c>
      <c r="Z57" s="1">
        <v>113</v>
      </c>
      <c r="AA57" s="1">
        <v>112.4</v>
      </c>
      <c r="AB57" s="1">
        <v>117.8</v>
      </c>
      <c r="AC57" s="1">
        <v>109.7</v>
      </c>
      <c r="AD57" s="1">
        <v>113.5</v>
      </c>
      <c r="AE57" s="1">
        <v>118.9</v>
      </c>
      <c r="AF57" s="6">
        <f t="shared" si="0"/>
        <v>123.03846153846153</v>
      </c>
      <c r="AG57" s="6">
        <f t="shared" si="1"/>
        <v>115.63333333333333</v>
      </c>
      <c r="AH57" s="6">
        <f t="shared" si="2"/>
        <v>116.33333333333333</v>
      </c>
      <c r="AI57" s="6">
        <f t="shared" si="3"/>
        <v>114.41999999999999</v>
      </c>
      <c r="AJ57" s="6">
        <f>IFERROR(AVERAGE(Main[[#This Row],[Health]],Main[[#This Row],[Personal care and effects]]),"NA")</f>
        <v>110.6</v>
      </c>
    </row>
    <row r="58" spans="1:36" ht="13.2" x14ac:dyDescent="0.25">
      <c r="A58" s="1" t="s">
        <v>40</v>
      </c>
      <c r="B58" s="1">
        <v>2014</v>
      </c>
      <c r="C58" s="1" t="s">
        <v>46</v>
      </c>
      <c r="D58" s="8">
        <f>DATEVALUE(Main[[#This Row],[Month]]&amp;Main[[#This Row],[Year]])</f>
        <v>41821</v>
      </c>
      <c r="E58" s="1">
        <v>122.4</v>
      </c>
      <c r="F58" s="1">
        <v>123.9</v>
      </c>
      <c r="G58" s="1">
        <v>117.8</v>
      </c>
      <c r="H58" s="1">
        <v>121</v>
      </c>
      <c r="I58" s="1">
        <v>107.9</v>
      </c>
      <c r="J58" s="1">
        <v>131.19999999999999</v>
      </c>
      <c r="K58" s="1">
        <v>157.69999999999999</v>
      </c>
      <c r="L58" s="1">
        <v>113.2</v>
      </c>
      <c r="M58" s="1">
        <v>104.1</v>
      </c>
      <c r="N58" s="1">
        <v>115.5</v>
      </c>
      <c r="O58" s="1">
        <v>114.8</v>
      </c>
      <c r="P58" s="1">
        <v>122.1</v>
      </c>
      <c r="Q58" s="1">
        <v>124.7</v>
      </c>
      <c r="R58" s="1">
        <v>118.8</v>
      </c>
      <c r="S58" s="1">
        <v>119.6</v>
      </c>
      <c r="T58" s="1">
        <v>116.3</v>
      </c>
      <c r="U58" s="1">
        <v>119.1</v>
      </c>
      <c r="V58" s="1">
        <v>114.8</v>
      </c>
      <c r="W58" s="1">
        <v>113.9</v>
      </c>
      <c r="X58" s="1">
        <v>115.2</v>
      </c>
      <c r="Y58" s="1">
        <v>112.7</v>
      </c>
      <c r="Z58" s="1">
        <v>113.1</v>
      </c>
      <c r="AA58" s="1">
        <v>112.1</v>
      </c>
      <c r="AB58" s="1">
        <v>116.8</v>
      </c>
      <c r="AC58" s="1">
        <v>109.2</v>
      </c>
      <c r="AD58" s="1">
        <v>113.3</v>
      </c>
      <c r="AE58" s="1">
        <v>119.2</v>
      </c>
      <c r="AF58" s="6">
        <f t="shared" si="0"/>
        <v>121.25384615384615</v>
      </c>
      <c r="AG58" s="6">
        <f t="shared" si="1"/>
        <v>114.73333333333333</v>
      </c>
      <c r="AH58" s="6">
        <f t="shared" si="2"/>
        <v>118.33333333333333</v>
      </c>
      <c r="AI58" s="6">
        <f t="shared" si="3"/>
        <v>114.75999999999999</v>
      </c>
      <c r="AJ58" s="6">
        <f>IFERROR(AVERAGE(Main[[#This Row],[Health]],Main[[#This Row],[Personal care and effects]]),"NA")</f>
        <v>110.95</v>
      </c>
    </row>
    <row r="59" spans="1:36" ht="13.2" x14ac:dyDescent="0.25">
      <c r="A59" s="1" t="s">
        <v>36</v>
      </c>
      <c r="B59" s="1">
        <v>2014</v>
      </c>
      <c r="C59" s="1" t="s">
        <v>47</v>
      </c>
      <c r="D59" s="8">
        <f>DATEVALUE(Main[[#This Row],[Month]]&amp;Main[[#This Row],[Year]])</f>
        <v>41852</v>
      </c>
      <c r="E59" s="1">
        <v>121.8</v>
      </c>
      <c r="F59" s="1">
        <v>122.8</v>
      </c>
      <c r="G59" s="1">
        <v>117.8</v>
      </c>
      <c r="H59" s="1">
        <v>121.9</v>
      </c>
      <c r="I59" s="1">
        <v>110.6</v>
      </c>
      <c r="J59" s="1">
        <v>129.69999999999999</v>
      </c>
      <c r="K59" s="1">
        <v>161.1</v>
      </c>
      <c r="L59" s="1">
        <v>114.1</v>
      </c>
      <c r="M59" s="1">
        <v>105.1</v>
      </c>
      <c r="N59" s="1">
        <v>114.6</v>
      </c>
      <c r="O59" s="1">
        <v>115.8</v>
      </c>
      <c r="P59" s="1">
        <v>121.7</v>
      </c>
      <c r="Q59" s="1">
        <v>125.3</v>
      </c>
      <c r="R59" s="1">
        <v>118.8</v>
      </c>
      <c r="S59" s="1">
        <v>120.9</v>
      </c>
      <c r="T59" s="1">
        <v>118.8</v>
      </c>
      <c r="U59" s="1">
        <v>120.7</v>
      </c>
      <c r="V59" s="1" t="s">
        <v>38</v>
      </c>
      <c r="W59" s="1">
        <v>115.4</v>
      </c>
      <c r="X59" s="1">
        <v>115.9</v>
      </c>
      <c r="Y59" s="1">
        <v>114</v>
      </c>
      <c r="Z59" s="1">
        <v>113.2</v>
      </c>
      <c r="AA59" s="1">
        <v>112.2</v>
      </c>
      <c r="AB59" s="1">
        <v>116.2</v>
      </c>
      <c r="AC59" s="1">
        <v>109.4</v>
      </c>
      <c r="AD59" s="1">
        <v>113.5</v>
      </c>
      <c r="AE59" s="1">
        <v>120.7</v>
      </c>
      <c r="AF59" s="6">
        <f t="shared" si="0"/>
        <v>121.71538461538459</v>
      </c>
      <c r="AG59" s="6">
        <f t="shared" si="1"/>
        <v>114.83333333333333</v>
      </c>
      <c r="AH59" s="6">
        <f t="shared" si="2"/>
        <v>120.13333333333333</v>
      </c>
      <c r="AI59" s="6">
        <f t="shared" si="3"/>
        <v>115.175</v>
      </c>
      <c r="AJ59" s="6">
        <f>IFERROR(AVERAGE(Main[[#This Row],[Health]],Main[[#This Row],[Personal care and effects]]),"NA")</f>
        <v>111.7</v>
      </c>
    </row>
    <row r="60" spans="1:36" ht="13.2" x14ac:dyDescent="0.25">
      <c r="A60" s="1" t="s">
        <v>39</v>
      </c>
      <c r="B60" s="1">
        <v>2014</v>
      </c>
      <c r="C60" s="1" t="s">
        <v>47</v>
      </c>
      <c r="D60" s="8">
        <f>DATEVALUE(Main[[#This Row],[Month]]&amp;Main[[#This Row],[Year]])</f>
        <v>41852</v>
      </c>
      <c r="E60" s="1">
        <v>124.8</v>
      </c>
      <c r="F60" s="1">
        <v>127.3</v>
      </c>
      <c r="G60" s="1">
        <v>116.5</v>
      </c>
      <c r="H60" s="1">
        <v>122.2</v>
      </c>
      <c r="I60" s="1">
        <v>103.6</v>
      </c>
      <c r="J60" s="1">
        <v>132.69999999999999</v>
      </c>
      <c r="K60" s="1">
        <v>181.9</v>
      </c>
      <c r="L60" s="1">
        <v>115.2</v>
      </c>
      <c r="M60" s="1">
        <v>102.7</v>
      </c>
      <c r="N60" s="1">
        <v>122.1</v>
      </c>
      <c r="O60" s="1">
        <v>114.4</v>
      </c>
      <c r="P60" s="1">
        <v>124.7</v>
      </c>
      <c r="Q60" s="1">
        <v>128.9</v>
      </c>
      <c r="R60" s="1">
        <v>123</v>
      </c>
      <c r="S60" s="1">
        <v>118.6</v>
      </c>
      <c r="T60" s="1">
        <v>114.1</v>
      </c>
      <c r="U60" s="1">
        <v>117.9</v>
      </c>
      <c r="V60" s="1">
        <v>115.5</v>
      </c>
      <c r="W60" s="1">
        <v>111.8</v>
      </c>
      <c r="X60" s="1">
        <v>115.3</v>
      </c>
      <c r="Y60" s="1">
        <v>112.2</v>
      </c>
      <c r="Z60" s="1">
        <v>112.5</v>
      </c>
      <c r="AA60" s="1">
        <v>112.9</v>
      </c>
      <c r="AB60" s="1">
        <v>119.2</v>
      </c>
      <c r="AC60" s="1">
        <v>110.5</v>
      </c>
      <c r="AD60" s="1">
        <v>113.9</v>
      </c>
      <c r="AE60" s="1">
        <v>119.9</v>
      </c>
      <c r="AF60" s="6">
        <f t="shared" si="0"/>
        <v>124.38461538461539</v>
      </c>
      <c r="AG60" s="6">
        <f t="shared" si="1"/>
        <v>116.60000000000001</v>
      </c>
      <c r="AH60" s="6">
        <f t="shared" si="2"/>
        <v>116.86666666666667</v>
      </c>
      <c r="AI60" s="6">
        <f t="shared" si="3"/>
        <v>114.86000000000001</v>
      </c>
      <c r="AJ60" s="6">
        <f>IFERROR(AVERAGE(Main[[#This Row],[Health]],Main[[#This Row],[Personal care and effects]]),"NA")</f>
        <v>111.35</v>
      </c>
    </row>
    <row r="61" spans="1:36" ht="13.2" x14ac:dyDescent="0.25">
      <c r="A61" s="1" t="s">
        <v>40</v>
      </c>
      <c r="B61" s="1">
        <v>2014</v>
      </c>
      <c r="C61" s="1" t="s">
        <v>47</v>
      </c>
      <c r="D61" s="8">
        <f>DATEVALUE(Main[[#This Row],[Month]]&amp;Main[[#This Row],[Year]])</f>
        <v>41852</v>
      </c>
      <c r="E61" s="1">
        <v>122.7</v>
      </c>
      <c r="F61" s="1">
        <v>124.4</v>
      </c>
      <c r="G61" s="1">
        <v>117.3</v>
      </c>
      <c r="H61" s="1">
        <v>122</v>
      </c>
      <c r="I61" s="1">
        <v>108</v>
      </c>
      <c r="J61" s="1">
        <v>131.1</v>
      </c>
      <c r="K61" s="1">
        <v>168.2</v>
      </c>
      <c r="L61" s="1">
        <v>114.5</v>
      </c>
      <c r="M61" s="1">
        <v>104.3</v>
      </c>
      <c r="N61" s="1">
        <v>117.1</v>
      </c>
      <c r="O61" s="1">
        <v>115.2</v>
      </c>
      <c r="P61" s="1">
        <v>123.1</v>
      </c>
      <c r="Q61" s="1">
        <v>126.6</v>
      </c>
      <c r="R61" s="1">
        <v>119.9</v>
      </c>
      <c r="S61" s="1">
        <v>120</v>
      </c>
      <c r="T61" s="1">
        <v>116.8</v>
      </c>
      <c r="U61" s="1">
        <v>119.6</v>
      </c>
      <c r="V61" s="1">
        <v>115.5</v>
      </c>
      <c r="W61" s="1">
        <v>114</v>
      </c>
      <c r="X61" s="1">
        <v>115.6</v>
      </c>
      <c r="Y61" s="1">
        <v>113.3</v>
      </c>
      <c r="Z61" s="1">
        <v>112.8</v>
      </c>
      <c r="AA61" s="1">
        <v>112.6</v>
      </c>
      <c r="AB61" s="1">
        <v>118</v>
      </c>
      <c r="AC61" s="1">
        <v>109.9</v>
      </c>
      <c r="AD61" s="1">
        <v>113.7</v>
      </c>
      <c r="AE61" s="1">
        <v>120.3</v>
      </c>
      <c r="AF61" s="6">
        <f t="shared" si="0"/>
        <v>122.65384615384613</v>
      </c>
      <c r="AG61" s="6">
        <f t="shared" si="1"/>
        <v>115.39999999999999</v>
      </c>
      <c r="AH61" s="6">
        <f t="shared" si="2"/>
        <v>118.8</v>
      </c>
      <c r="AI61" s="6">
        <f t="shared" si="3"/>
        <v>115.18000000000002</v>
      </c>
      <c r="AJ61" s="6">
        <f>IFERROR(AVERAGE(Main[[#This Row],[Health]],Main[[#This Row],[Personal care and effects]]),"NA")</f>
        <v>111.6</v>
      </c>
    </row>
    <row r="62" spans="1:36" ht="13.2" x14ac:dyDescent="0.25">
      <c r="A62" s="1" t="s">
        <v>36</v>
      </c>
      <c r="B62" s="1">
        <v>2014</v>
      </c>
      <c r="C62" s="1" t="s">
        <v>48</v>
      </c>
      <c r="D62" s="8">
        <f>DATEVALUE(Main[[#This Row],[Month]]&amp;Main[[#This Row],[Year]])</f>
        <v>41883</v>
      </c>
      <c r="E62" s="1">
        <v>122.3</v>
      </c>
      <c r="F62" s="1">
        <v>122.4</v>
      </c>
      <c r="G62" s="1">
        <v>117.8</v>
      </c>
      <c r="H62" s="1">
        <v>122.7</v>
      </c>
      <c r="I62" s="1">
        <v>110.4</v>
      </c>
      <c r="J62" s="1">
        <v>129.80000000000001</v>
      </c>
      <c r="K62" s="1">
        <v>158.80000000000001</v>
      </c>
      <c r="L62" s="1">
        <v>115</v>
      </c>
      <c r="M62" s="1">
        <v>104.7</v>
      </c>
      <c r="N62" s="1">
        <v>114.9</v>
      </c>
      <c r="O62" s="1">
        <v>116.5</v>
      </c>
      <c r="P62" s="1">
        <v>122.6</v>
      </c>
      <c r="Q62" s="1">
        <v>125.3</v>
      </c>
      <c r="R62" s="1">
        <v>119.5</v>
      </c>
      <c r="S62" s="1">
        <v>121.7</v>
      </c>
      <c r="T62" s="1">
        <v>119.2</v>
      </c>
      <c r="U62" s="1">
        <v>121.3</v>
      </c>
      <c r="V62" s="1" t="s">
        <v>38</v>
      </c>
      <c r="W62" s="1">
        <v>115.8</v>
      </c>
      <c r="X62" s="1">
        <v>116.7</v>
      </c>
      <c r="Y62" s="1">
        <v>114.5</v>
      </c>
      <c r="Z62" s="1">
        <v>112.8</v>
      </c>
      <c r="AA62" s="1">
        <v>112.6</v>
      </c>
      <c r="AB62" s="1">
        <v>116.6</v>
      </c>
      <c r="AC62" s="1">
        <v>109.1</v>
      </c>
      <c r="AD62" s="1">
        <v>113.7</v>
      </c>
      <c r="AE62" s="1">
        <v>120.9</v>
      </c>
      <c r="AF62" s="6">
        <f t="shared" si="0"/>
        <v>121.78461538461539</v>
      </c>
      <c r="AG62" s="6">
        <f t="shared" si="1"/>
        <v>115.26666666666667</v>
      </c>
      <c r="AH62" s="6">
        <f t="shared" si="2"/>
        <v>120.73333333333333</v>
      </c>
      <c r="AI62" s="6">
        <f t="shared" si="3"/>
        <v>115.47499999999999</v>
      </c>
      <c r="AJ62" s="6">
        <f>IFERROR(AVERAGE(Main[[#This Row],[Health]],Main[[#This Row],[Personal care and effects]]),"NA")</f>
        <v>111.8</v>
      </c>
    </row>
    <row r="63" spans="1:36" ht="13.2" x14ac:dyDescent="0.25">
      <c r="A63" s="1" t="s">
        <v>39</v>
      </c>
      <c r="B63" s="1">
        <v>2014</v>
      </c>
      <c r="C63" s="1" t="s">
        <v>48</v>
      </c>
      <c r="D63" s="8">
        <f>DATEVALUE(Main[[#This Row],[Month]]&amp;Main[[#This Row],[Year]])</f>
        <v>41883</v>
      </c>
      <c r="E63" s="1">
        <v>124.2</v>
      </c>
      <c r="F63" s="1">
        <v>125.4</v>
      </c>
      <c r="G63" s="1">
        <v>116.4</v>
      </c>
      <c r="H63" s="1">
        <v>122.7</v>
      </c>
      <c r="I63" s="1">
        <v>103.5</v>
      </c>
      <c r="J63" s="1">
        <v>124.5</v>
      </c>
      <c r="K63" s="1">
        <v>168.6</v>
      </c>
      <c r="L63" s="1">
        <v>116.9</v>
      </c>
      <c r="M63" s="1">
        <v>101.9</v>
      </c>
      <c r="N63" s="1">
        <v>122.9</v>
      </c>
      <c r="O63" s="1">
        <v>114.8</v>
      </c>
      <c r="P63" s="1">
        <v>125.2</v>
      </c>
      <c r="Q63" s="1">
        <v>126.7</v>
      </c>
      <c r="R63" s="1">
        <v>124.3</v>
      </c>
      <c r="S63" s="1">
        <v>119.2</v>
      </c>
      <c r="T63" s="1">
        <v>114.5</v>
      </c>
      <c r="U63" s="1">
        <v>118.4</v>
      </c>
      <c r="V63" s="1">
        <v>116.1</v>
      </c>
      <c r="W63" s="1">
        <v>111.8</v>
      </c>
      <c r="X63" s="1">
        <v>115.5</v>
      </c>
      <c r="Y63" s="1">
        <v>112.3</v>
      </c>
      <c r="Z63" s="1">
        <v>111.2</v>
      </c>
      <c r="AA63" s="1">
        <v>113.4</v>
      </c>
      <c r="AB63" s="1">
        <v>120</v>
      </c>
      <c r="AC63" s="1">
        <v>110</v>
      </c>
      <c r="AD63" s="1">
        <v>113.6</v>
      </c>
      <c r="AE63" s="1">
        <v>119.2</v>
      </c>
      <c r="AF63" s="6">
        <f t="shared" si="0"/>
        <v>122.59230769230771</v>
      </c>
      <c r="AG63" s="6">
        <f t="shared" si="1"/>
        <v>117.09999999999998</v>
      </c>
      <c r="AH63" s="6">
        <f t="shared" si="2"/>
        <v>117.36666666666667</v>
      </c>
      <c r="AI63" s="6">
        <f t="shared" si="3"/>
        <v>114.91999999999999</v>
      </c>
      <c r="AJ63" s="6">
        <f>IFERROR(AVERAGE(Main[[#This Row],[Health]],Main[[#This Row],[Personal care and effects]]),"NA")</f>
        <v>111.15</v>
      </c>
    </row>
    <row r="64" spans="1:36" ht="13.2" x14ac:dyDescent="0.25">
      <c r="A64" s="1" t="s">
        <v>40</v>
      </c>
      <c r="B64" s="1">
        <v>2014</v>
      </c>
      <c r="C64" s="1" t="s">
        <v>48</v>
      </c>
      <c r="D64" s="8">
        <f>DATEVALUE(Main[[#This Row],[Month]]&amp;Main[[#This Row],[Year]])</f>
        <v>41883</v>
      </c>
      <c r="E64" s="1">
        <v>122.9</v>
      </c>
      <c r="F64" s="1">
        <v>123.5</v>
      </c>
      <c r="G64" s="1">
        <v>117.3</v>
      </c>
      <c r="H64" s="1">
        <v>122.7</v>
      </c>
      <c r="I64" s="1">
        <v>107.9</v>
      </c>
      <c r="J64" s="1">
        <v>127.3</v>
      </c>
      <c r="K64" s="1">
        <v>162.1</v>
      </c>
      <c r="L64" s="1">
        <v>115.6</v>
      </c>
      <c r="M64" s="1">
        <v>103.8</v>
      </c>
      <c r="N64" s="1">
        <v>117.6</v>
      </c>
      <c r="O64" s="1">
        <v>115.8</v>
      </c>
      <c r="P64" s="1">
        <v>123.8</v>
      </c>
      <c r="Q64" s="1">
        <v>125.8</v>
      </c>
      <c r="R64" s="1">
        <v>120.8</v>
      </c>
      <c r="S64" s="1">
        <v>120.7</v>
      </c>
      <c r="T64" s="1">
        <v>117.2</v>
      </c>
      <c r="U64" s="1">
        <v>120.1</v>
      </c>
      <c r="V64" s="1">
        <v>116.1</v>
      </c>
      <c r="W64" s="1">
        <v>114.3</v>
      </c>
      <c r="X64" s="1">
        <v>116.1</v>
      </c>
      <c r="Y64" s="1">
        <v>113.7</v>
      </c>
      <c r="Z64" s="1">
        <v>112</v>
      </c>
      <c r="AA64" s="1">
        <v>113.1</v>
      </c>
      <c r="AB64" s="1">
        <v>118.6</v>
      </c>
      <c r="AC64" s="1">
        <v>109.5</v>
      </c>
      <c r="AD64" s="1">
        <v>113.7</v>
      </c>
      <c r="AE64" s="1">
        <v>120.1</v>
      </c>
      <c r="AF64" s="6">
        <f t="shared" si="0"/>
        <v>122.00769230769228</v>
      </c>
      <c r="AG64" s="6">
        <f t="shared" si="1"/>
        <v>115.86666666666666</v>
      </c>
      <c r="AH64" s="6">
        <f t="shared" si="2"/>
        <v>119.33333333333333</v>
      </c>
      <c r="AI64" s="6">
        <f t="shared" si="3"/>
        <v>115.42</v>
      </c>
      <c r="AJ64" s="6">
        <f>IFERROR(AVERAGE(Main[[#This Row],[Health]],Main[[#This Row],[Personal care and effects]]),"NA")</f>
        <v>111.6</v>
      </c>
    </row>
    <row r="65" spans="1:36" ht="13.2" x14ac:dyDescent="0.25">
      <c r="A65" s="1" t="s">
        <v>36</v>
      </c>
      <c r="B65" s="1">
        <v>2014</v>
      </c>
      <c r="C65" s="1" t="s">
        <v>49</v>
      </c>
      <c r="D65" s="8">
        <f>DATEVALUE(Main[[#This Row],[Month]]&amp;Main[[#This Row],[Year]])</f>
        <v>41913</v>
      </c>
      <c r="E65" s="1">
        <v>122.6</v>
      </c>
      <c r="F65" s="1">
        <v>122.5</v>
      </c>
      <c r="G65" s="1">
        <v>118.3</v>
      </c>
      <c r="H65" s="1">
        <v>123.2</v>
      </c>
      <c r="I65" s="1">
        <v>110.5</v>
      </c>
      <c r="J65" s="1">
        <v>128.9</v>
      </c>
      <c r="K65" s="1">
        <v>155.30000000000001</v>
      </c>
      <c r="L65" s="1">
        <v>115.5</v>
      </c>
      <c r="M65" s="1">
        <v>104</v>
      </c>
      <c r="N65" s="1">
        <v>115.3</v>
      </c>
      <c r="O65" s="1">
        <v>116.8</v>
      </c>
      <c r="P65" s="1">
        <v>123.2</v>
      </c>
      <c r="Q65" s="1">
        <v>125.1</v>
      </c>
      <c r="R65" s="1">
        <v>120</v>
      </c>
      <c r="S65" s="1">
        <v>122.7</v>
      </c>
      <c r="T65" s="1">
        <v>120.3</v>
      </c>
      <c r="U65" s="1">
        <v>122.3</v>
      </c>
      <c r="V65" s="1" t="s">
        <v>38</v>
      </c>
      <c r="W65" s="1">
        <v>116.4</v>
      </c>
      <c r="X65" s="1">
        <v>117.5</v>
      </c>
      <c r="Y65" s="1">
        <v>115.3</v>
      </c>
      <c r="Z65" s="1">
        <v>112.6</v>
      </c>
      <c r="AA65" s="1">
        <v>113</v>
      </c>
      <c r="AB65" s="1">
        <v>116.9</v>
      </c>
      <c r="AC65" s="1">
        <v>109.3</v>
      </c>
      <c r="AD65" s="1">
        <v>114</v>
      </c>
      <c r="AE65" s="1">
        <v>121</v>
      </c>
      <c r="AF65" s="6">
        <f t="shared" si="0"/>
        <v>121.63076923076922</v>
      </c>
      <c r="AG65" s="6">
        <f t="shared" si="1"/>
        <v>115.66666666666667</v>
      </c>
      <c r="AH65" s="6">
        <f t="shared" si="2"/>
        <v>121.76666666666667</v>
      </c>
      <c r="AI65" s="6">
        <f t="shared" si="3"/>
        <v>115.85</v>
      </c>
      <c r="AJ65" s="6">
        <f>IFERROR(AVERAGE(Main[[#This Row],[Health]],Main[[#This Row],[Personal care and effects]]),"NA")</f>
        <v>112.3</v>
      </c>
    </row>
    <row r="66" spans="1:36" ht="13.2" x14ac:dyDescent="0.25">
      <c r="A66" s="1" t="s">
        <v>39</v>
      </c>
      <c r="B66" s="1">
        <v>2014</v>
      </c>
      <c r="C66" s="1" t="s">
        <v>49</v>
      </c>
      <c r="D66" s="8">
        <f>DATEVALUE(Main[[#This Row],[Month]]&amp;Main[[#This Row],[Year]])</f>
        <v>41913</v>
      </c>
      <c r="E66" s="1">
        <v>124.6</v>
      </c>
      <c r="F66" s="1">
        <v>126.1</v>
      </c>
      <c r="G66" s="1">
        <v>117.8</v>
      </c>
      <c r="H66" s="1">
        <v>123.1</v>
      </c>
      <c r="I66" s="1">
        <v>103.5</v>
      </c>
      <c r="J66" s="1">
        <v>123.5</v>
      </c>
      <c r="K66" s="1">
        <v>159.6</v>
      </c>
      <c r="L66" s="1">
        <v>117.4</v>
      </c>
      <c r="M66" s="1">
        <v>101.2</v>
      </c>
      <c r="N66" s="1">
        <v>123.8</v>
      </c>
      <c r="O66" s="1">
        <v>115.2</v>
      </c>
      <c r="P66" s="1">
        <v>125.9</v>
      </c>
      <c r="Q66" s="1">
        <v>125.8</v>
      </c>
      <c r="R66" s="1">
        <v>124.3</v>
      </c>
      <c r="S66" s="1">
        <v>119.6</v>
      </c>
      <c r="T66" s="1">
        <v>114.9</v>
      </c>
      <c r="U66" s="1">
        <v>118.9</v>
      </c>
      <c r="V66" s="1">
        <v>116.7</v>
      </c>
      <c r="W66" s="1">
        <v>112</v>
      </c>
      <c r="X66" s="1">
        <v>115.8</v>
      </c>
      <c r="Y66" s="1">
        <v>112.6</v>
      </c>
      <c r="Z66" s="1">
        <v>111</v>
      </c>
      <c r="AA66" s="1">
        <v>113.6</v>
      </c>
      <c r="AB66" s="1">
        <v>120.2</v>
      </c>
      <c r="AC66" s="1">
        <v>110.1</v>
      </c>
      <c r="AD66" s="1">
        <v>113.7</v>
      </c>
      <c r="AE66" s="1">
        <v>119.1</v>
      </c>
      <c r="AF66" s="6">
        <f t="shared" ref="AF66:AF129" si="4">IFERROR(AVERAGE(E66:Q66),"NA")</f>
        <v>122.11538461538461</v>
      </c>
      <c r="AG66" s="6">
        <f t="shared" ref="AG66:AG129" si="5">IFERROR(AVERAGE(R66,AA66,AD66),"NA")</f>
        <v>117.19999999999999</v>
      </c>
      <c r="AH66" s="6">
        <f t="shared" ref="AH66:AH129" si="6">IFERROR(AVERAGE(S66:U66),"NA")</f>
        <v>117.8</v>
      </c>
      <c r="AI66" s="6">
        <f t="shared" ref="AI66:AI129" si="7">IFERROR(AVERAGE(V66,W66,X66,Z66,AB66),"NA")</f>
        <v>115.14000000000001</v>
      </c>
      <c r="AJ66" s="6">
        <f>IFERROR(AVERAGE(Main[[#This Row],[Health]],Main[[#This Row],[Personal care and effects]]),"NA")</f>
        <v>111.35</v>
      </c>
    </row>
    <row r="67" spans="1:36" ht="13.2" x14ac:dyDescent="0.25">
      <c r="A67" s="1" t="s">
        <v>40</v>
      </c>
      <c r="B67" s="1">
        <v>2014</v>
      </c>
      <c r="C67" s="1" t="s">
        <v>49</v>
      </c>
      <c r="D67" s="8">
        <f>DATEVALUE(Main[[#This Row],[Month]]&amp;Main[[#This Row],[Year]])</f>
        <v>41913</v>
      </c>
      <c r="E67" s="1">
        <v>123.2</v>
      </c>
      <c r="F67" s="1">
        <v>123.8</v>
      </c>
      <c r="G67" s="1">
        <v>118.1</v>
      </c>
      <c r="H67" s="1">
        <v>123.2</v>
      </c>
      <c r="I67" s="1">
        <v>107.9</v>
      </c>
      <c r="J67" s="1">
        <v>126.4</v>
      </c>
      <c r="K67" s="1">
        <v>156.80000000000001</v>
      </c>
      <c r="L67" s="1">
        <v>116.1</v>
      </c>
      <c r="M67" s="1">
        <v>103.1</v>
      </c>
      <c r="N67" s="1">
        <v>118.1</v>
      </c>
      <c r="O67" s="1">
        <v>116.1</v>
      </c>
      <c r="P67" s="1">
        <v>124.5</v>
      </c>
      <c r="Q67" s="1">
        <v>125.4</v>
      </c>
      <c r="R67" s="1">
        <v>121.1</v>
      </c>
      <c r="S67" s="1">
        <v>121.5</v>
      </c>
      <c r="T67" s="1">
        <v>118.1</v>
      </c>
      <c r="U67" s="1">
        <v>121</v>
      </c>
      <c r="V67" s="1">
        <v>116.7</v>
      </c>
      <c r="W67" s="1">
        <v>114.7</v>
      </c>
      <c r="X67" s="1">
        <v>116.7</v>
      </c>
      <c r="Y67" s="1">
        <v>114.3</v>
      </c>
      <c r="Z67" s="1">
        <v>111.8</v>
      </c>
      <c r="AA67" s="1">
        <v>113.3</v>
      </c>
      <c r="AB67" s="1">
        <v>118.8</v>
      </c>
      <c r="AC67" s="1">
        <v>109.6</v>
      </c>
      <c r="AD67" s="1">
        <v>113.9</v>
      </c>
      <c r="AE67" s="1">
        <v>120.1</v>
      </c>
      <c r="AF67" s="6">
        <f t="shared" si="4"/>
        <v>121.74615384615385</v>
      </c>
      <c r="AG67" s="6">
        <f t="shared" si="5"/>
        <v>116.09999999999998</v>
      </c>
      <c r="AH67" s="6">
        <f t="shared" si="6"/>
        <v>120.2</v>
      </c>
      <c r="AI67" s="6">
        <f t="shared" si="7"/>
        <v>115.74000000000001</v>
      </c>
      <c r="AJ67" s="6">
        <f>IFERROR(AVERAGE(Main[[#This Row],[Health]],Main[[#This Row],[Personal care and effects]]),"NA")</f>
        <v>111.94999999999999</v>
      </c>
    </row>
    <row r="68" spans="1:36" ht="13.2" x14ac:dyDescent="0.25">
      <c r="A68" s="1" t="s">
        <v>36</v>
      </c>
      <c r="B68" s="1">
        <v>2014</v>
      </c>
      <c r="C68" s="1" t="s">
        <v>50</v>
      </c>
      <c r="D68" s="8">
        <f>DATEVALUE(Main[[#This Row],[Month]]&amp;Main[[#This Row],[Year]])</f>
        <v>41944</v>
      </c>
      <c r="E68" s="1">
        <v>122.7</v>
      </c>
      <c r="F68" s="1">
        <v>122.6</v>
      </c>
      <c r="G68" s="1">
        <v>119.9</v>
      </c>
      <c r="H68" s="1">
        <v>124</v>
      </c>
      <c r="I68" s="1">
        <v>110.5</v>
      </c>
      <c r="J68" s="1">
        <v>128.80000000000001</v>
      </c>
      <c r="K68" s="1">
        <v>152</v>
      </c>
      <c r="L68" s="1">
        <v>116.2</v>
      </c>
      <c r="M68" s="1">
        <v>103.3</v>
      </c>
      <c r="N68" s="1">
        <v>115.8</v>
      </c>
      <c r="O68" s="1">
        <v>116.8</v>
      </c>
      <c r="P68" s="1">
        <v>124.5</v>
      </c>
      <c r="Q68" s="1">
        <v>124.9</v>
      </c>
      <c r="R68" s="1">
        <v>120.8</v>
      </c>
      <c r="S68" s="1">
        <v>123.3</v>
      </c>
      <c r="T68" s="1">
        <v>120.5</v>
      </c>
      <c r="U68" s="1">
        <v>122.9</v>
      </c>
      <c r="V68" s="1" t="s">
        <v>38</v>
      </c>
      <c r="W68" s="1">
        <v>117.3</v>
      </c>
      <c r="X68" s="1">
        <v>118.1</v>
      </c>
      <c r="Y68" s="1">
        <v>115.9</v>
      </c>
      <c r="Z68" s="1">
        <v>112</v>
      </c>
      <c r="AA68" s="1">
        <v>113.3</v>
      </c>
      <c r="AB68" s="1">
        <v>117.2</v>
      </c>
      <c r="AC68" s="1">
        <v>108.8</v>
      </c>
      <c r="AD68" s="1">
        <v>114.1</v>
      </c>
      <c r="AE68" s="1">
        <v>121.1</v>
      </c>
      <c r="AF68" s="6">
        <f t="shared" si="4"/>
        <v>121.69230769230769</v>
      </c>
      <c r="AG68" s="6">
        <f t="shared" si="5"/>
        <v>116.06666666666666</v>
      </c>
      <c r="AH68" s="6">
        <f t="shared" si="6"/>
        <v>122.23333333333335</v>
      </c>
      <c r="AI68" s="6">
        <f t="shared" si="7"/>
        <v>116.14999999999999</v>
      </c>
      <c r="AJ68" s="6">
        <f>IFERROR(AVERAGE(Main[[#This Row],[Health]],Main[[#This Row],[Personal care and effects]]),"NA")</f>
        <v>112.35</v>
      </c>
    </row>
    <row r="69" spans="1:36" ht="13.2" x14ac:dyDescent="0.25">
      <c r="A69" s="1" t="s">
        <v>39</v>
      </c>
      <c r="B69" s="1">
        <v>2014</v>
      </c>
      <c r="C69" s="1" t="s">
        <v>50</v>
      </c>
      <c r="D69" s="8">
        <f>DATEVALUE(Main[[#This Row],[Month]]&amp;Main[[#This Row],[Year]])</f>
        <v>41944</v>
      </c>
      <c r="E69" s="1">
        <v>124.5</v>
      </c>
      <c r="F69" s="1">
        <v>125.6</v>
      </c>
      <c r="G69" s="1">
        <v>122.7</v>
      </c>
      <c r="H69" s="1">
        <v>124.6</v>
      </c>
      <c r="I69" s="1">
        <v>103.2</v>
      </c>
      <c r="J69" s="1">
        <v>122.2</v>
      </c>
      <c r="K69" s="1">
        <v>153.19999999999999</v>
      </c>
      <c r="L69" s="1">
        <v>119.3</v>
      </c>
      <c r="M69" s="1">
        <v>99.8</v>
      </c>
      <c r="N69" s="1">
        <v>124.6</v>
      </c>
      <c r="O69" s="1">
        <v>115.8</v>
      </c>
      <c r="P69" s="1">
        <v>126.9</v>
      </c>
      <c r="Q69" s="1">
        <v>125.4</v>
      </c>
      <c r="R69" s="1">
        <v>125.8</v>
      </c>
      <c r="S69" s="1">
        <v>120.3</v>
      </c>
      <c r="T69" s="1">
        <v>115.4</v>
      </c>
      <c r="U69" s="1">
        <v>119.5</v>
      </c>
      <c r="V69" s="1">
        <v>117.1</v>
      </c>
      <c r="W69" s="1">
        <v>112.6</v>
      </c>
      <c r="X69" s="1">
        <v>116.4</v>
      </c>
      <c r="Y69" s="1">
        <v>113</v>
      </c>
      <c r="Z69" s="1">
        <v>109.7</v>
      </c>
      <c r="AA69" s="1">
        <v>114</v>
      </c>
      <c r="AB69" s="1">
        <v>120.3</v>
      </c>
      <c r="AC69" s="1">
        <v>109.6</v>
      </c>
      <c r="AD69" s="1">
        <v>113.4</v>
      </c>
      <c r="AE69" s="1">
        <v>119</v>
      </c>
      <c r="AF69" s="6">
        <f t="shared" si="4"/>
        <v>122.13846153846154</v>
      </c>
      <c r="AG69" s="6">
        <f t="shared" si="5"/>
        <v>117.73333333333335</v>
      </c>
      <c r="AH69" s="6">
        <f t="shared" si="6"/>
        <v>118.39999999999999</v>
      </c>
      <c r="AI69" s="6">
        <f t="shared" si="7"/>
        <v>115.22</v>
      </c>
      <c r="AJ69" s="6">
        <f>IFERROR(AVERAGE(Main[[#This Row],[Health]],Main[[#This Row],[Personal care and effects]]),"NA")</f>
        <v>111.3</v>
      </c>
    </row>
    <row r="70" spans="1:36" ht="13.2" x14ac:dyDescent="0.25">
      <c r="A70" s="1" t="s">
        <v>40</v>
      </c>
      <c r="B70" s="1">
        <v>2014</v>
      </c>
      <c r="C70" s="1" t="s">
        <v>50</v>
      </c>
      <c r="D70" s="8">
        <f>DATEVALUE(Main[[#This Row],[Month]]&amp;Main[[#This Row],[Year]])</f>
        <v>41944</v>
      </c>
      <c r="E70" s="1">
        <v>123.3</v>
      </c>
      <c r="F70" s="1">
        <v>123.7</v>
      </c>
      <c r="G70" s="1">
        <v>121</v>
      </c>
      <c r="H70" s="1">
        <v>124.2</v>
      </c>
      <c r="I70" s="1">
        <v>107.8</v>
      </c>
      <c r="J70" s="1">
        <v>125.7</v>
      </c>
      <c r="K70" s="1">
        <v>152.4</v>
      </c>
      <c r="L70" s="1">
        <v>117.2</v>
      </c>
      <c r="M70" s="1">
        <v>102.1</v>
      </c>
      <c r="N70" s="1">
        <v>118.7</v>
      </c>
      <c r="O70" s="1">
        <v>116.4</v>
      </c>
      <c r="P70" s="1">
        <v>125.6</v>
      </c>
      <c r="Q70" s="1">
        <v>125.1</v>
      </c>
      <c r="R70" s="1">
        <v>122.1</v>
      </c>
      <c r="S70" s="1">
        <v>122.1</v>
      </c>
      <c r="T70" s="1">
        <v>118.4</v>
      </c>
      <c r="U70" s="1">
        <v>121.6</v>
      </c>
      <c r="V70" s="1">
        <v>117.1</v>
      </c>
      <c r="W70" s="1">
        <v>115.5</v>
      </c>
      <c r="X70" s="1">
        <v>117.3</v>
      </c>
      <c r="Y70" s="1">
        <v>114.8</v>
      </c>
      <c r="Z70" s="1">
        <v>110.8</v>
      </c>
      <c r="AA70" s="1">
        <v>113.7</v>
      </c>
      <c r="AB70" s="1">
        <v>119</v>
      </c>
      <c r="AC70" s="1">
        <v>109.1</v>
      </c>
      <c r="AD70" s="1">
        <v>113.8</v>
      </c>
      <c r="AE70" s="1">
        <v>120.1</v>
      </c>
      <c r="AF70" s="6">
        <f t="shared" si="4"/>
        <v>121.78461538461539</v>
      </c>
      <c r="AG70" s="6">
        <f t="shared" si="5"/>
        <v>116.53333333333335</v>
      </c>
      <c r="AH70" s="6">
        <f t="shared" si="6"/>
        <v>120.7</v>
      </c>
      <c r="AI70" s="6">
        <f t="shared" si="7"/>
        <v>115.94000000000001</v>
      </c>
      <c r="AJ70" s="6">
        <f>IFERROR(AVERAGE(Main[[#This Row],[Health]],Main[[#This Row],[Personal care and effects]]),"NA")</f>
        <v>111.94999999999999</v>
      </c>
    </row>
    <row r="71" spans="1:36" ht="13.2" x14ac:dyDescent="0.25">
      <c r="A71" s="1" t="s">
        <v>36</v>
      </c>
      <c r="B71" s="1">
        <v>2014</v>
      </c>
      <c r="C71" s="1" t="s">
        <v>51</v>
      </c>
      <c r="D71" s="8">
        <f>DATEVALUE(Main[[#This Row],[Month]]&amp;Main[[#This Row],[Year]])</f>
        <v>41974</v>
      </c>
      <c r="E71" s="1">
        <v>122.4</v>
      </c>
      <c r="F71" s="1">
        <v>122.4</v>
      </c>
      <c r="G71" s="1">
        <v>121.8</v>
      </c>
      <c r="H71" s="1">
        <v>124.2</v>
      </c>
      <c r="I71" s="1">
        <v>110.2</v>
      </c>
      <c r="J71" s="1">
        <v>128.6</v>
      </c>
      <c r="K71" s="1">
        <v>140.30000000000001</v>
      </c>
      <c r="L71" s="1">
        <v>116.3</v>
      </c>
      <c r="M71" s="1">
        <v>102</v>
      </c>
      <c r="N71" s="1">
        <v>116</v>
      </c>
      <c r="O71" s="1">
        <v>117.3</v>
      </c>
      <c r="P71" s="1">
        <v>124.8</v>
      </c>
      <c r="Q71" s="1">
        <v>123.3</v>
      </c>
      <c r="R71" s="1">
        <v>121.7</v>
      </c>
      <c r="S71" s="1">
        <v>123.8</v>
      </c>
      <c r="T71" s="1">
        <v>120.6</v>
      </c>
      <c r="U71" s="1">
        <v>123.3</v>
      </c>
      <c r="V71" s="1" t="s">
        <v>38</v>
      </c>
      <c r="W71" s="1">
        <v>117.4</v>
      </c>
      <c r="X71" s="1">
        <v>118.2</v>
      </c>
      <c r="Y71" s="1">
        <v>116.2</v>
      </c>
      <c r="Z71" s="1">
        <v>111.5</v>
      </c>
      <c r="AA71" s="1">
        <v>113.3</v>
      </c>
      <c r="AB71" s="1">
        <v>117.7</v>
      </c>
      <c r="AC71" s="1">
        <v>109.4</v>
      </c>
      <c r="AD71" s="1">
        <v>114.2</v>
      </c>
      <c r="AE71" s="1">
        <v>120.3</v>
      </c>
      <c r="AF71" s="6">
        <f t="shared" si="4"/>
        <v>120.73846153846154</v>
      </c>
      <c r="AG71" s="6">
        <f t="shared" si="5"/>
        <v>116.39999999999999</v>
      </c>
      <c r="AH71" s="6">
        <f t="shared" si="6"/>
        <v>122.56666666666666</v>
      </c>
      <c r="AI71" s="6">
        <f t="shared" si="7"/>
        <v>116.2</v>
      </c>
      <c r="AJ71" s="6">
        <f>IFERROR(AVERAGE(Main[[#This Row],[Health]],Main[[#This Row],[Personal care and effects]]),"NA")</f>
        <v>112.80000000000001</v>
      </c>
    </row>
    <row r="72" spans="1:36" ht="13.2" x14ac:dyDescent="0.25">
      <c r="A72" s="1" t="s">
        <v>39</v>
      </c>
      <c r="B72" s="1">
        <v>2014</v>
      </c>
      <c r="C72" s="1" t="s">
        <v>51</v>
      </c>
      <c r="D72" s="8">
        <f>DATEVALUE(Main[[#This Row],[Month]]&amp;Main[[#This Row],[Year]])</f>
        <v>41974</v>
      </c>
      <c r="E72" s="1">
        <v>124</v>
      </c>
      <c r="F72" s="1">
        <v>124.7</v>
      </c>
      <c r="G72" s="1">
        <v>126.3</v>
      </c>
      <c r="H72" s="1">
        <v>124.9</v>
      </c>
      <c r="I72" s="1">
        <v>103</v>
      </c>
      <c r="J72" s="1">
        <v>122.3</v>
      </c>
      <c r="K72" s="1">
        <v>141</v>
      </c>
      <c r="L72" s="1">
        <v>120.1</v>
      </c>
      <c r="M72" s="1">
        <v>97.8</v>
      </c>
      <c r="N72" s="1">
        <v>125.4</v>
      </c>
      <c r="O72" s="1">
        <v>116.1</v>
      </c>
      <c r="P72" s="1">
        <v>127.6</v>
      </c>
      <c r="Q72" s="1">
        <v>124</v>
      </c>
      <c r="R72" s="1">
        <v>126.4</v>
      </c>
      <c r="S72" s="1">
        <v>120.7</v>
      </c>
      <c r="T72" s="1">
        <v>115.8</v>
      </c>
      <c r="U72" s="1">
        <v>120</v>
      </c>
      <c r="V72" s="1">
        <v>116.5</v>
      </c>
      <c r="W72" s="1">
        <v>113</v>
      </c>
      <c r="X72" s="1">
        <v>116.8</v>
      </c>
      <c r="Y72" s="1">
        <v>113.2</v>
      </c>
      <c r="Z72" s="1">
        <v>108.8</v>
      </c>
      <c r="AA72" s="1">
        <v>114.3</v>
      </c>
      <c r="AB72" s="1">
        <v>120.7</v>
      </c>
      <c r="AC72" s="1">
        <v>110.4</v>
      </c>
      <c r="AD72" s="1">
        <v>113.4</v>
      </c>
      <c r="AE72" s="1">
        <v>118.4</v>
      </c>
      <c r="AF72" s="6">
        <f t="shared" si="4"/>
        <v>121.32307692307691</v>
      </c>
      <c r="AG72" s="6">
        <f t="shared" si="5"/>
        <v>118.03333333333335</v>
      </c>
      <c r="AH72" s="6">
        <f t="shared" si="6"/>
        <v>118.83333333333333</v>
      </c>
      <c r="AI72" s="6">
        <f t="shared" si="7"/>
        <v>115.16000000000001</v>
      </c>
      <c r="AJ72" s="6">
        <f>IFERROR(AVERAGE(Main[[#This Row],[Health]],Main[[#This Row],[Personal care and effects]]),"NA")</f>
        <v>111.80000000000001</v>
      </c>
    </row>
    <row r="73" spans="1:36" ht="13.2" x14ac:dyDescent="0.25">
      <c r="A73" s="1" t="s">
        <v>40</v>
      </c>
      <c r="B73" s="1">
        <v>2014</v>
      </c>
      <c r="C73" s="1" t="s">
        <v>51</v>
      </c>
      <c r="D73" s="8">
        <f>DATEVALUE(Main[[#This Row],[Month]]&amp;Main[[#This Row],[Year]])</f>
        <v>41974</v>
      </c>
      <c r="E73" s="1">
        <v>122.9</v>
      </c>
      <c r="F73" s="1">
        <v>123.2</v>
      </c>
      <c r="G73" s="1">
        <v>123.5</v>
      </c>
      <c r="H73" s="1">
        <v>124.5</v>
      </c>
      <c r="I73" s="1">
        <v>107.6</v>
      </c>
      <c r="J73" s="1">
        <v>125.7</v>
      </c>
      <c r="K73" s="1">
        <v>140.5</v>
      </c>
      <c r="L73" s="1">
        <v>117.6</v>
      </c>
      <c r="M73" s="1">
        <v>100.6</v>
      </c>
      <c r="N73" s="1">
        <v>119.1</v>
      </c>
      <c r="O73" s="1">
        <v>116.8</v>
      </c>
      <c r="P73" s="1">
        <v>126.1</v>
      </c>
      <c r="Q73" s="1">
        <v>123.6</v>
      </c>
      <c r="R73" s="1">
        <v>123</v>
      </c>
      <c r="S73" s="1">
        <v>122.6</v>
      </c>
      <c r="T73" s="1">
        <v>118.6</v>
      </c>
      <c r="U73" s="1">
        <v>122</v>
      </c>
      <c r="V73" s="1">
        <v>116.5</v>
      </c>
      <c r="W73" s="1">
        <v>115.7</v>
      </c>
      <c r="X73" s="1">
        <v>117.5</v>
      </c>
      <c r="Y73" s="1">
        <v>115.1</v>
      </c>
      <c r="Z73" s="1">
        <v>110.1</v>
      </c>
      <c r="AA73" s="1">
        <v>113.9</v>
      </c>
      <c r="AB73" s="1">
        <v>119.5</v>
      </c>
      <c r="AC73" s="1">
        <v>109.8</v>
      </c>
      <c r="AD73" s="1">
        <v>113.8</v>
      </c>
      <c r="AE73" s="1">
        <v>119.4</v>
      </c>
      <c r="AF73" s="6">
        <f t="shared" si="4"/>
        <v>120.89999999999999</v>
      </c>
      <c r="AG73" s="6">
        <f t="shared" si="5"/>
        <v>116.89999999999999</v>
      </c>
      <c r="AH73" s="6">
        <f t="shared" si="6"/>
        <v>121.06666666666666</v>
      </c>
      <c r="AI73" s="6">
        <f t="shared" si="7"/>
        <v>115.85999999999999</v>
      </c>
      <c r="AJ73" s="6">
        <f>IFERROR(AVERAGE(Main[[#This Row],[Health]],Main[[#This Row],[Personal care and effects]]),"NA")</f>
        <v>112.44999999999999</v>
      </c>
    </row>
    <row r="74" spans="1:36" ht="13.2" x14ac:dyDescent="0.25">
      <c r="A74" s="1" t="s">
        <v>36</v>
      </c>
      <c r="B74" s="1">
        <v>2015</v>
      </c>
      <c r="C74" s="1" t="s">
        <v>37</v>
      </c>
      <c r="D74" s="8">
        <f>DATEVALUE(Main[[#This Row],[Month]]&amp;Main[[#This Row],[Year]])</f>
        <v>42005</v>
      </c>
      <c r="E74" s="1">
        <v>123.1</v>
      </c>
      <c r="F74" s="1">
        <v>123.1</v>
      </c>
      <c r="G74" s="1">
        <v>122.1</v>
      </c>
      <c r="H74" s="1">
        <v>124.9</v>
      </c>
      <c r="I74" s="1">
        <v>111</v>
      </c>
      <c r="J74" s="1">
        <v>130.4</v>
      </c>
      <c r="K74" s="1">
        <v>132.30000000000001</v>
      </c>
      <c r="L74" s="1">
        <v>117.2</v>
      </c>
      <c r="M74" s="1">
        <v>100.5</v>
      </c>
      <c r="N74" s="1">
        <v>117.2</v>
      </c>
      <c r="O74" s="1">
        <v>117.9</v>
      </c>
      <c r="P74" s="1">
        <v>125.6</v>
      </c>
      <c r="Q74" s="1">
        <v>122.8</v>
      </c>
      <c r="R74" s="1">
        <v>122.7</v>
      </c>
      <c r="S74" s="1">
        <v>124.4</v>
      </c>
      <c r="T74" s="1">
        <v>121.6</v>
      </c>
      <c r="U74" s="1">
        <v>124</v>
      </c>
      <c r="V74" s="1" t="s">
        <v>38</v>
      </c>
      <c r="W74" s="1">
        <v>118.4</v>
      </c>
      <c r="X74" s="1">
        <v>118.9</v>
      </c>
      <c r="Y74" s="1">
        <v>116.6</v>
      </c>
      <c r="Z74" s="1">
        <v>111</v>
      </c>
      <c r="AA74" s="1">
        <v>114</v>
      </c>
      <c r="AB74" s="1">
        <v>118.2</v>
      </c>
      <c r="AC74" s="1">
        <v>110.2</v>
      </c>
      <c r="AD74" s="1">
        <v>114.5</v>
      </c>
      <c r="AE74" s="1">
        <v>120.3</v>
      </c>
      <c r="AF74" s="6">
        <f t="shared" si="4"/>
        <v>120.62307692307692</v>
      </c>
      <c r="AG74" s="6">
        <f t="shared" si="5"/>
        <v>117.06666666666666</v>
      </c>
      <c r="AH74" s="6">
        <f t="shared" si="6"/>
        <v>123.33333333333333</v>
      </c>
      <c r="AI74" s="6">
        <f t="shared" si="7"/>
        <v>116.625</v>
      </c>
      <c r="AJ74" s="6">
        <f>IFERROR(AVERAGE(Main[[#This Row],[Health]],Main[[#This Row],[Personal care and effects]]),"NA")</f>
        <v>113.4</v>
      </c>
    </row>
    <row r="75" spans="1:36" ht="13.2" x14ac:dyDescent="0.25">
      <c r="A75" s="1" t="s">
        <v>39</v>
      </c>
      <c r="B75" s="1">
        <v>2015</v>
      </c>
      <c r="C75" s="1" t="s">
        <v>37</v>
      </c>
      <c r="D75" s="8">
        <f>DATEVALUE(Main[[#This Row],[Month]]&amp;Main[[#This Row],[Year]])</f>
        <v>42005</v>
      </c>
      <c r="E75" s="1">
        <v>124</v>
      </c>
      <c r="F75" s="1">
        <v>125.5</v>
      </c>
      <c r="G75" s="1">
        <v>126.6</v>
      </c>
      <c r="H75" s="1">
        <v>125.2</v>
      </c>
      <c r="I75" s="1">
        <v>104.3</v>
      </c>
      <c r="J75" s="1">
        <v>121.3</v>
      </c>
      <c r="K75" s="1">
        <v>134.4</v>
      </c>
      <c r="L75" s="1">
        <v>122.9</v>
      </c>
      <c r="M75" s="1">
        <v>96.1</v>
      </c>
      <c r="N75" s="1">
        <v>126.6</v>
      </c>
      <c r="O75" s="1">
        <v>116.5</v>
      </c>
      <c r="P75" s="1">
        <v>128</v>
      </c>
      <c r="Q75" s="1">
        <v>123.5</v>
      </c>
      <c r="R75" s="1">
        <v>127.4</v>
      </c>
      <c r="S75" s="1">
        <v>121</v>
      </c>
      <c r="T75" s="1">
        <v>116.1</v>
      </c>
      <c r="U75" s="1">
        <v>120.2</v>
      </c>
      <c r="V75" s="1">
        <v>117.3</v>
      </c>
      <c r="W75" s="1">
        <v>113.4</v>
      </c>
      <c r="X75" s="1">
        <v>117.2</v>
      </c>
      <c r="Y75" s="1">
        <v>113.7</v>
      </c>
      <c r="Z75" s="1">
        <v>107.9</v>
      </c>
      <c r="AA75" s="1">
        <v>114.6</v>
      </c>
      <c r="AB75" s="1">
        <v>120.8</v>
      </c>
      <c r="AC75" s="1">
        <v>111.4</v>
      </c>
      <c r="AD75" s="1">
        <v>113.4</v>
      </c>
      <c r="AE75" s="1">
        <v>118.5</v>
      </c>
      <c r="AF75" s="6">
        <f t="shared" si="4"/>
        <v>121.14615384615384</v>
      </c>
      <c r="AG75" s="6">
        <f t="shared" si="5"/>
        <v>118.46666666666665</v>
      </c>
      <c r="AH75" s="6">
        <f t="shared" si="6"/>
        <v>119.10000000000001</v>
      </c>
      <c r="AI75" s="6">
        <f t="shared" si="7"/>
        <v>115.31999999999998</v>
      </c>
      <c r="AJ75" s="6">
        <f>IFERROR(AVERAGE(Main[[#This Row],[Health]],Main[[#This Row],[Personal care and effects]]),"NA")</f>
        <v>112.55000000000001</v>
      </c>
    </row>
    <row r="76" spans="1:36" ht="13.2" x14ac:dyDescent="0.25">
      <c r="A76" s="1" t="s">
        <v>40</v>
      </c>
      <c r="B76" s="1">
        <v>2015</v>
      </c>
      <c r="C76" s="1" t="s">
        <v>37</v>
      </c>
      <c r="D76" s="8">
        <f>DATEVALUE(Main[[#This Row],[Month]]&amp;Main[[#This Row],[Year]])</f>
        <v>42005</v>
      </c>
      <c r="E76" s="1">
        <v>123.4</v>
      </c>
      <c r="F76" s="1">
        <v>123.9</v>
      </c>
      <c r="G76" s="1">
        <v>123.8</v>
      </c>
      <c r="H76" s="1">
        <v>125</v>
      </c>
      <c r="I76" s="1">
        <v>108.5</v>
      </c>
      <c r="J76" s="1">
        <v>126.2</v>
      </c>
      <c r="K76" s="1">
        <v>133</v>
      </c>
      <c r="L76" s="1">
        <v>119.1</v>
      </c>
      <c r="M76" s="1">
        <v>99</v>
      </c>
      <c r="N76" s="1">
        <v>120.3</v>
      </c>
      <c r="O76" s="1">
        <v>117.3</v>
      </c>
      <c r="P76" s="1">
        <v>126.7</v>
      </c>
      <c r="Q76" s="1">
        <v>123.1</v>
      </c>
      <c r="R76" s="1">
        <v>124</v>
      </c>
      <c r="S76" s="1">
        <v>123.1</v>
      </c>
      <c r="T76" s="1">
        <v>119.3</v>
      </c>
      <c r="U76" s="1">
        <v>122.5</v>
      </c>
      <c r="V76" s="1">
        <v>117.3</v>
      </c>
      <c r="W76" s="1">
        <v>116.5</v>
      </c>
      <c r="X76" s="1">
        <v>118.1</v>
      </c>
      <c r="Y76" s="1">
        <v>115.5</v>
      </c>
      <c r="Z76" s="1">
        <v>109.4</v>
      </c>
      <c r="AA76" s="1">
        <v>114.3</v>
      </c>
      <c r="AB76" s="1">
        <v>119.7</v>
      </c>
      <c r="AC76" s="1">
        <v>110.7</v>
      </c>
      <c r="AD76" s="1">
        <v>114</v>
      </c>
      <c r="AE76" s="1">
        <v>119.5</v>
      </c>
      <c r="AF76" s="6">
        <f t="shared" si="4"/>
        <v>120.71538461538461</v>
      </c>
      <c r="AG76" s="6">
        <f t="shared" si="5"/>
        <v>117.43333333333334</v>
      </c>
      <c r="AH76" s="6">
        <f t="shared" si="6"/>
        <v>121.63333333333333</v>
      </c>
      <c r="AI76" s="6">
        <f t="shared" si="7"/>
        <v>116.2</v>
      </c>
      <c r="AJ76" s="6">
        <f>IFERROR(AVERAGE(Main[[#This Row],[Health]],Main[[#This Row],[Personal care and effects]]),"NA")</f>
        <v>113.1</v>
      </c>
    </row>
    <row r="77" spans="1:36" ht="13.2" x14ac:dyDescent="0.25">
      <c r="A77" s="1" t="s">
        <v>36</v>
      </c>
      <c r="B77" s="1">
        <v>2015</v>
      </c>
      <c r="C77" s="1" t="s">
        <v>41</v>
      </c>
      <c r="D77" s="8">
        <f>DATEVALUE(Main[[#This Row],[Month]]&amp;Main[[#This Row],[Year]])</f>
        <v>42036</v>
      </c>
      <c r="E77" s="1">
        <v>123.4</v>
      </c>
      <c r="F77" s="1">
        <v>124.4</v>
      </c>
      <c r="G77" s="1">
        <v>122.1</v>
      </c>
      <c r="H77" s="1">
        <v>125.8</v>
      </c>
      <c r="I77" s="1">
        <v>111.5</v>
      </c>
      <c r="J77" s="1">
        <v>129.4</v>
      </c>
      <c r="K77" s="1">
        <v>128.19999999999999</v>
      </c>
      <c r="L77" s="1">
        <v>118.8</v>
      </c>
      <c r="M77" s="1">
        <v>100</v>
      </c>
      <c r="N77" s="1">
        <v>118.6</v>
      </c>
      <c r="O77" s="1">
        <v>118.8</v>
      </c>
      <c r="P77" s="1">
        <v>126.8</v>
      </c>
      <c r="Q77" s="1">
        <v>122.8</v>
      </c>
      <c r="R77" s="1">
        <v>124.2</v>
      </c>
      <c r="S77" s="1">
        <v>125.4</v>
      </c>
      <c r="T77" s="1">
        <v>122.7</v>
      </c>
      <c r="U77" s="1">
        <v>125</v>
      </c>
      <c r="V77" s="1" t="s">
        <v>38</v>
      </c>
      <c r="W77" s="1">
        <v>120</v>
      </c>
      <c r="X77" s="1">
        <v>119.6</v>
      </c>
      <c r="Y77" s="1">
        <v>117.7</v>
      </c>
      <c r="Z77" s="1">
        <v>110.9</v>
      </c>
      <c r="AA77" s="1">
        <v>114.8</v>
      </c>
      <c r="AB77" s="1">
        <v>118.7</v>
      </c>
      <c r="AC77" s="1">
        <v>110.8</v>
      </c>
      <c r="AD77" s="1">
        <v>115</v>
      </c>
      <c r="AE77" s="1">
        <v>120.6</v>
      </c>
      <c r="AF77" s="6">
        <f t="shared" si="4"/>
        <v>120.81538461538459</v>
      </c>
      <c r="AG77" s="6">
        <f t="shared" si="5"/>
        <v>118</v>
      </c>
      <c r="AH77" s="6">
        <f t="shared" si="6"/>
        <v>124.36666666666667</v>
      </c>
      <c r="AI77" s="6">
        <f t="shared" si="7"/>
        <v>117.3</v>
      </c>
      <c r="AJ77" s="6">
        <f>IFERROR(AVERAGE(Main[[#This Row],[Health]],Main[[#This Row],[Personal care and effects]]),"NA")</f>
        <v>114.25</v>
      </c>
    </row>
    <row r="78" spans="1:36" ht="13.2" x14ac:dyDescent="0.25">
      <c r="A78" s="1" t="s">
        <v>39</v>
      </c>
      <c r="B78" s="1">
        <v>2015</v>
      </c>
      <c r="C78" s="1" t="s">
        <v>41</v>
      </c>
      <c r="D78" s="8">
        <f>DATEVALUE(Main[[#This Row],[Month]]&amp;Main[[#This Row],[Year]])</f>
        <v>42036</v>
      </c>
      <c r="E78" s="1">
        <v>124.3</v>
      </c>
      <c r="F78" s="1">
        <v>126.5</v>
      </c>
      <c r="G78" s="1">
        <v>119.5</v>
      </c>
      <c r="H78" s="1">
        <v>125.6</v>
      </c>
      <c r="I78" s="1">
        <v>104.9</v>
      </c>
      <c r="J78" s="1">
        <v>121.6</v>
      </c>
      <c r="K78" s="1">
        <v>131.80000000000001</v>
      </c>
      <c r="L78" s="1">
        <v>125.1</v>
      </c>
      <c r="M78" s="1">
        <v>95</v>
      </c>
      <c r="N78" s="1">
        <v>127.7</v>
      </c>
      <c r="O78" s="1">
        <v>116.8</v>
      </c>
      <c r="P78" s="1">
        <v>128.6</v>
      </c>
      <c r="Q78" s="1">
        <v>123.7</v>
      </c>
      <c r="R78" s="1">
        <v>128.1</v>
      </c>
      <c r="S78" s="1">
        <v>121.3</v>
      </c>
      <c r="T78" s="1">
        <v>116.5</v>
      </c>
      <c r="U78" s="1">
        <v>120.6</v>
      </c>
      <c r="V78" s="1">
        <v>118.1</v>
      </c>
      <c r="W78" s="1">
        <v>114</v>
      </c>
      <c r="X78" s="1">
        <v>117.7</v>
      </c>
      <c r="Y78" s="1">
        <v>114.1</v>
      </c>
      <c r="Z78" s="1">
        <v>106.8</v>
      </c>
      <c r="AA78" s="1">
        <v>114.9</v>
      </c>
      <c r="AB78" s="1">
        <v>120.4</v>
      </c>
      <c r="AC78" s="1">
        <v>111.7</v>
      </c>
      <c r="AD78" s="1">
        <v>113.2</v>
      </c>
      <c r="AE78" s="1">
        <v>118.7</v>
      </c>
      <c r="AF78" s="6">
        <f t="shared" si="4"/>
        <v>120.85384615384616</v>
      </c>
      <c r="AG78" s="6">
        <f t="shared" si="5"/>
        <v>118.73333333333333</v>
      </c>
      <c r="AH78" s="6">
        <f t="shared" si="6"/>
        <v>119.46666666666665</v>
      </c>
      <c r="AI78" s="6">
        <f t="shared" si="7"/>
        <v>115.4</v>
      </c>
      <c r="AJ78" s="6">
        <f>IFERROR(AVERAGE(Main[[#This Row],[Health]],Main[[#This Row],[Personal care and effects]]),"NA")</f>
        <v>112.9</v>
      </c>
    </row>
    <row r="79" spans="1:36" ht="13.2" x14ac:dyDescent="0.25">
      <c r="A79" s="1" t="s">
        <v>40</v>
      </c>
      <c r="B79" s="1">
        <v>2015</v>
      </c>
      <c r="C79" s="1" t="s">
        <v>41</v>
      </c>
      <c r="D79" s="8">
        <f>DATEVALUE(Main[[#This Row],[Month]]&amp;Main[[#This Row],[Year]])</f>
        <v>42036</v>
      </c>
      <c r="E79" s="1">
        <v>123.7</v>
      </c>
      <c r="F79" s="1">
        <v>125.1</v>
      </c>
      <c r="G79" s="1">
        <v>121.1</v>
      </c>
      <c r="H79" s="1">
        <v>125.7</v>
      </c>
      <c r="I79" s="1">
        <v>109.1</v>
      </c>
      <c r="J79" s="1">
        <v>125.8</v>
      </c>
      <c r="K79" s="1">
        <v>129.4</v>
      </c>
      <c r="L79" s="1">
        <v>120.9</v>
      </c>
      <c r="M79" s="1">
        <v>98.3</v>
      </c>
      <c r="N79" s="1">
        <v>121.6</v>
      </c>
      <c r="O79" s="1">
        <v>118</v>
      </c>
      <c r="P79" s="1">
        <v>127.6</v>
      </c>
      <c r="Q79" s="1">
        <v>123.1</v>
      </c>
      <c r="R79" s="1">
        <v>125.2</v>
      </c>
      <c r="S79" s="1">
        <v>123.8</v>
      </c>
      <c r="T79" s="1">
        <v>120.1</v>
      </c>
      <c r="U79" s="1">
        <v>123.3</v>
      </c>
      <c r="V79" s="1">
        <v>118.1</v>
      </c>
      <c r="W79" s="1">
        <v>117.7</v>
      </c>
      <c r="X79" s="1">
        <v>118.7</v>
      </c>
      <c r="Y79" s="1">
        <v>116.3</v>
      </c>
      <c r="Z79" s="1">
        <v>108.7</v>
      </c>
      <c r="AA79" s="1">
        <v>114.9</v>
      </c>
      <c r="AB79" s="1">
        <v>119.7</v>
      </c>
      <c r="AC79" s="1">
        <v>111.2</v>
      </c>
      <c r="AD79" s="1">
        <v>114.1</v>
      </c>
      <c r="AE79" s="1">
        <v>119.7</v>
      </c>
      <c r="AF79" s="6">
        <f t="shared" si="4"/>
        <v>120.72307692307689</v>
      </c>
      <c r="AG79" s="6">
        <f t="shared" si="5"/>
        <v>118.06666666666668</v>
      </c>
      <c r="AH79" s="6">
        <f t="shared" si="6"/>
        <v>122.39999999999999</v>
      </c>
      <c r="AI79" s="6">
        <f t="shared" si="7"/>
        <v>116.58</v>
      </c>
      <c r="AJ79" s="6">
        <f>IFERROR(AVERAGE(Main[[#This Row],[Health]],Main[[#This Row],[Personal care and effects]]),"NA")</f>
        <v>113.75</v>
      </c>
    </row>
    <row r="80" spans="1:36" ht="13.2" x14ac:dyDescent="0.25">
      <c r="A80" s="1" t="s">
        <v>36</v>
      </c>
      <c r="B80" s="1">
        <v>2015</v>
      </c>
      <c r="C80" s="1" t="s">
        <v>42</v>
      </c>
      <c r="D80" s="8">
        <f>DATEVALUE(Main[[#This Row],[Month]]&amp;Main[[#This Row],[Year]])</f>
        <v>42064</v>
      </c>
      <c r="E80" s="1">
        <v>123.3</v>
      </c>
      <c r="F80" s="1">
        <v>124.7</v>
      </c>
      <c r="G80" s="1">
        <v>118.9</v>
      </c>
      <c r="H80" s="1">
        <v>126</v>
      </c>
      <c r="I80" s="1">
        <v>111.8</v>
      </c>
      <c r="J80" s="1">
        <v>130.9</v>
      </c>
      <c r="K80" s="1">
        <v>128</v>
      </c>
      <c r="L80" s="1">
        <v>119.9</v>
      </c>
      <c r="M80" s="1">
        <v>98.9</v>
      </c>
      <c r="N80" s="1">
        <v>119.4</v>
      </c>
      <c r="O80" s="1">
        <v>118.9</v>
      </c>
      <c r="P80" s="1">
        <v>127.7</v>
      </c>
      <c r="Q80" s="1">
        <v>123.1</v>
      </c>
      <c r="R80" s="1">
        <v>124.7</v>
      </c>
      <c r="S80" s="1">
        <v>126</v>
      </c>
      <c r="T80" s="1">
        <v>122.9</v>
      </c>
      <c r="U80" s="1">
        <v>125.5</v>
      </c>
      <c r="V80" s="1" t="s">
        <v>38</v>
      </c>
      <c r="W80" s="1">
        <v>120.6</v>
      </c>
      <c r="X80" s="1">
        <v>120.2</v>
      </c>
      <c r="Y80" s="1">
        <v>118.2</v>
      </c>
      <c r="Z80" s="1">
        <v>111.6</v>
      </c>
      <c r="AA80" s="1">
        <v>115.5</v>
      </c>
      <c r="AB80" s="1">
        <v>119.4</v>
      </c>
      <c r="AC80" s="1">
        <v>110.8</v>
      </c>
      <c r="AD80" s="1">
        <v>115.5</v>
      </c>
      <c r="AE80" s="1">
        <v>121.1</v>
      </c>
      <c r="AF80" s="6">
        <f t="shared" si="4"/>
        <v>120.88461538461539</v>
      </c>
      <c r="AG80" s="6">
        <f t="shared" si="5"/>
        <v>118.56666666666666</v>
      </c>
      <c r="AH80" s="6">
        <f t="shared" si="6"/>
        <v>124.8</v>
      </c>
      <c r="AI80" s="6">
        <f t="shared" si="7"/>
        <v>117.94999999999999</v>
      </c>
      <c r="AJ80" s="6">
        <f>IFERROR(AVERAGE(Main[[#This Row],[Health]],Main[[#This Row],[Personal care and effects]]),"NA")</f>
        <v>114.5</v>
      </c>
    </row>
    <row r="81" spans="1:36" ht="13.2" x14ac:dyDescent="0.25">
      <c r="A81" s="1" t="s">
        <v>39</v>
      </c>
      <c r="B81" s="1">
        <v>2015</v>
      </c>
      <c r="C81" s="1" t="s">
        <v>42</v>
      </c>
      <c r="D81" s="8">
        <f>DATEVALUE(Main[[#This Row],[Month]]&amp;Main[[#This Row],[Year]])</f>
        <v>42064</v>
      </c>
      <c r="E81" s="1">
        <v>124</v>
      </c>
      <c r="F81" s="1">
        <v>126.7</v>
      </c>
      <c r="G81" s="1">
        <v>113.5</v>
      </c>
      <c r="H81" s="1">
        <v>125.9</v>
      </c>
      <c r="I81" s="1">
        <v>104.8</v>
      </c>
      <c r="J81" s="1">
        <v>123.8</v>
      </c>
      <c r="K81" s="1">
        <v>131.4</v>
      </c>
      <c r="L81" s="1">
        <v>127.2</v>
      </c>
      <c r="M81" s="1">
        <v>93.2</v>
      </c>
      <c r="N81" s="1">
        <v>127.4</v>
      </c>
      <c r="O81" s="1">
        <v>117</v>
      </c>
      <c r="P81" s="1">
        <v>129.19999999999999</v>
      </c>
      <c r="Q81" s="1">
        <v>123.9</v>
      </c>
      <c r="R81" s="1">
        <v>128.80000000000001</v>
      </c>
      <c r="S81" s="1">
        <v>121.7</v>
      </c>
      <c r="T81" s="1">
        <v>116.9</v>
      </c>
      <c r="U81" s="1">
        <v>120.9</v>
      </c>
      <c r="V81" s="1">
        <v>118.6</v>
      </c>
      <c r="W81" s="1">
        <v>114.4</v>
      </c>
      <c r="X81" s="1">
        <v>118</v>
      </c>
      <c r="Y81" s="1">
        <v>114.3</v>
      </c>
      <c r="Z81" s="1">
        <v>108.4</v>
      </c>
      <c r="AA81" s="1">
        <v>115.4</v>
      </c>
      <c r="AB81" s="1">
        <v>120.6</v>
      </c>
      <c r="AC81" s="1">
        <v>111.3</v>
      </c>
      <c r="AD81" s="1">
        <v>113.8</v>
      </c>
      <c r="AE81" s="1">
        <v>119.1</v>
      </c>
      <c r="AF81" s="6">
        <f t="shared" si="4"/>
        <v>120.61538461538463</v>
      </c>
      <c r="AG81" s="6">
        <f t="shared" si="5"/>
        <v>119.33333333333333</v>
      </c>
      <c r="AH81" s="6">
        <f t="shared" si="6"/>
        <v>119.83333333333333</v>
      </c>
      <c r="AI81" s="6">
        <f t="shared" si="7"/>
        <v>116</v>
      </c>
      <c r="AJ81" s="6">
        <f>IFERROR(AVERAGE(Main[[#This Row],[Health]],Main[[#This Row],[Personal care and effects]]),"NA")</f>
        <v>112.8</v>
      </c>
    </row>
    <row r="82" spans="1:36" ht="13.2" x14ac:dyDescent="0.25">
      <c r="A82" s="1" t="s">
        <v>40</v>
      </c>
      <c r="B82" s="1">
        <v>2015</v>
      </c>
      <c r="C82" s="1" t="s">
        <v>42</v>
      </c>
      <c r="D82" s="8">
        <f>DATEVALUE(Main[[#This Row],[Month]]&amp;Main[[#This Row],[Year]])</f>
        <v>42064</v>
      </c>
      <c r="E82" s="1">
        <v>123.5</v>
      </c>
      <c r="F82" s="1">
        <v>125.4</v>
      </c>
      <c r="G82" s="1">
        <v>116.8</v>
      </c>
      <c r="H82" s="1">
        <v>126</v>
      </c>
      <c r="I82" s="1">
        <v>109.2</v>
      </c>
      <c r="J82" s="1">
        <v>127.6</v>
      </c>
      <c r="K82" s="1">
        <v>129.19999999999999</v>
      </c>
      <c r="L82" s="1">
        <v>122.4</v>
      </c>
      <c r="M82" s="1">
        <v>97</v>
      </c>
      <c r="N82" s="1">
        <v>122.1</v>
      </c>
      <c r="O82" s="1">
        <v>118.1</v>
      </c>
      <c r="P82" s="1">
        <v>128.4</v>
      </c>
      <c r="Q82" s="1">
        <v>123.4</v>
      </c>
      <c r="R82" s="1">
        <v>125.8</v>
      </c>
      <c r="S82" s="1">
        <v>124.3</v>
      </c>
      <c r="T82" s="1">
        <v>120.4</v>
      </c>
      <c r="U82" s="1">
        <v>123.7</v>
      </c>
      <c r="V82" s="1">
        <v>118.6</v>
      </c>
      <c r="W82" s="1">
        <v>118.3</v>
      </c>
      <c r="X82" s="1">
        <v>119.2</v>
      </c>
      <c r="Y82" s="1">
        <v>116.7</v>
      </c>
      <c r="Z82" s="1">
        <v>109.9</v>
      </c>
      <c r="AA82" s="1">
        <v>115.4</v>
      </c>
      <c r="AB82" s="1">
        <v>120.1</v>
      </c>
      <c r="AC82" s="1">
        <v>111</v>
      </c>
      <c r="AD82" s="1">
        <v>114.7</v>
      </c>
      <c r="AE82" s="1">
        <v>120.2</v>
      </c>
      <c r="AF82" s="6">
        <f t="shared" si="4"/>
        <v>120.69999999999999</v>
      </c>
      <c r="AG82" s="6">
        <f t="shared" si="5"/>
        <v>118.63333333333333</v>
      </c>
      <c r="AH82" s="6">
        <f t="shared" si="6"/>
        <v>122.8</v>
      </c>
      <c r="AI82" s="6">
        <f t="shared" si="7"/>
        <v>117.22</v>
      </c>
      <c r="AJ82" s="6">
        <f>IFERROR(AVERAGE(Main[[#This Row],[Health]],Main[[#This Row],[Personal care and effects]]),"NA")</f>
        <v>113.85</v>
      </c>
    </row>
    <row r="83" spans="1:36" ht="13.2" x14ac:dyDescent="0.25">
      <c r="A83" s="1" t="s">
        <v>36</v>
      </c>
      <c r="B83" s="1">
        <v>2015</v>
      </c>
      <c r="C83" s="1" t="s">
        <v>43</v>
      </c>
      <c r="D83" s="8">
        <f>DATEVALUE(Main[[#This Row],[Month]]&amp;Main[[#This Row],[Year]])</f>
        <v>42095</v>
      </c>
      <c r="E83" s="1">
        <v>123.3</v>
      </c>
      <c r="F83" s="1">
        <v>125.5</v>
      </c>
      <c r="G83" s="1">
        <v>117.2</v>
      </c>
      <c r="H83" s="1">
        <v>126.8</v>
      </c>
      <c r="I83" s="1">
        <v>111.9</v>
      </c>
      <c r="J83" s="1">
        <v>134.19999999999999</v>
      </c>
      <c r="K83" s="1">
        <v>127.5</v>
      </c>
      <c r="L83" s="1">
        <v>121.5</v>
      </c>
      <c r="M83" s="1">
        <v>97.8</v>
      </c>
      <c r="N83" s="1">
        <v>119.8</v>
      </c>
      <c r="O83" s="1">
        <v>119.4</v>
      </c>
      <c r="P83" s="1">
        <v>128.69999999999999</v>
      </c>
      <c r="Q83" s="1">
        <v>123.6</v>
      </c>
      <c r="R83" s="1">
        <v>125.7</v>
      </c>
      <c r="S83" s="1">
        <v>126.4</v>
      </c>
      <c r="T83" s="1">
        <v>123.3</v>
      </c>
      <c r="U83" s="1">
        <v>126</v>
      </c>
      <c r="V83" s="1" t="s">
        <v>38</v>
      </c>
      <c r="W83" s="1">
        <v>121.2</v>
      </c>
      <c r="X83" s="1">
        <v>120.9</v>
      </c>
      <c r="Y83" s="1">
        <v>118.6</v>
      </c>
      <c r="Z83" s="1">
        <v>111.9</v>
      </c>
      <c r="AA83" s="1">
        <v>116.2</v>
      </c>
      <c r="AB83" s="1">
        <v>119.9</v>
      </c>
      <c r="AC83" s="1">
        <v>111.6</v>
      </c>
      <c r="AD83" s="1">
        <v>116</v>
      </c>
      <c r="AE83" s="1">
        <v>121.5</v>
      </c>
      <c r="AF83" s="6">
        <f t="shared" si="4"/>
        <v>121.32307692307693</v>
      </c>
      <c r="AG83" s="6">
        <f t="shared" si="5"/>
        <v>119.3</v>
      </c>
      <c r="AH83" s="6">
        <f t="shared" si="6"/>
        <v>125.23333333333333</v>
      </c>
      <c r="AI83" s="6">
        <f t="shared" si="7"/>
        <v>118.47499999999999</v>
      </c>
      <c r="AJ83" s="6">
        <f>IFERROR(AVERAGE(Main[[#This Row],[Health]],Main[[#This Row],[Personal care and effects]]),"NA")</f>
        <v>115.1</v>
      </c>
    </row>
    <row r="84" spans="1:36" ht="13.2" x14ac:dyDescent="0.25">
      <c r="A84" s="1" t="s">
        <v>39</v>
      </c>
      <c r="B84" s="1">
        <v>2015</v>
      </c>
      <c r="C84" s="1" t="s">
        <v>43</v>
      </c>
      <c r="D84" s="8">
        <f>DATEVALUE(Main[[#This Row],[Month]]&amp;Main[[#This Row],[Year]])</f>
        <v>42095</v>
      </c>
      <c r="E84" s="1">
        <v>123.8</v>
      </c>
      <c r="F84" s="1">
        <v>128.19999999999999</v>
      </c>
      <c r="G84" s="1">
        <v>110</v>
      </c>
      <c r="H84" s="1">
        <v>126.3</v>
      </c>
      <c r="I84" s="1">
        <v>104.5</v>
      </c>
      <c r="J84" s="1">
        <v>130.6</v>
      </c>
      <c r="K84" s="1">
        <v>130.80000000000001</v>
      </c>
      <c r="L84" s="1">
        <v>131.30000000000001</v>
      </c>
      <c r="M84" s="1">
        <v>91.6</v>
      </c>
      <c r="N84" s="1">
        <v>127.7</v>
      </c>
      <c r="O84" s="1">
        <v>117.2</v>
      </c>
      <c r="P84" s="1">
        <v>129.5</v>
      </c>
      <c r="Q84" s="1">
        <v>124.6</v>
      </c>
      <c r="R84" s="1">
        <v>130.1</v>
      </c>
      <c r="S84" s="1">
        <v>122.1</v>
      </c>
      <c r="T84" s="1">
        <v>117.2</v>
      </c>
      <c r="U84" s="1">
        <v>121.3</v>
      </c>
      <c r="V84" s="1">
        <v>119.2</v>
      </c>
      <c r="W84" s="1">
        <v>114.7</v>
      </c>
      <c r="X84" s="1">
        <v>118.4</v>
      </c>
      <c r="Y84" s="1">
        <v>114.6</v>
      </c>
      <c r="Z84" s="1">
        <v>108.4</v>
      </c>
      <c r="AA84" s="1">
        <v>115.6</v>
      </c>
      <c r="AB84" s="1">
        <v>121.7</v>
      </c>
      <c r="AC84" s="1">
        <v>111.8</v>
      </c>
      <c r="AD84" s="1">
        <v>114.2</v>
      </c>
      <c r="AE84" s="1">
        <v>119.7</v>
      </c>
      <c r="AF84" s="6">
        <f t="shared" si="4"/>
        <v>121.23846153846154</v>
      </c>
      <c r="AG84" s="6">
        <f t="shared" si="5"/>
        <v>119.96666666666665</v>
      </c>
      <c r="AH84" s="6">
        <f t="shared" si="6"/>
        <v>120.2</v>
      </c>
      <c r="AI84" s="6">
        <f t="shared" si="7"/>
        <v>116.48000000000002</v>
      </c>
      <c r="AJ84" s="6">
        <f>IFERROR(AVERAGE(Main[[#This Row],[Health]],Main[[#This Row],[Personal care and effects]]),"NA")</f>
        <v>113.19999999999999</v>
      </c>
    </row>
    <row r="85" spans="1:36" ht="13.2" x14ac:dyDescent="0.25">
      <c r="A85" s="1" t="s">
        <v>40</v>
      </c>
      <c r="B85" s="1">
        <v>2015</v>
      </c>
      <c r="C85" s="1" t="s">
        <v>43</v>
      </c>
      <c r="D85" s="8">
        <f>DATEVALUE(Main[[#This Row],[Month]]&amp;Main[[#This Row],[Year]])</f>
        <v>42095</v>
      </c>
      <c r="E85" s="1">
        <v>123.5</v>
      </c>
      <c r="F85" s="1">
        <v>126.4</v>
      </c>
      <c r="G85" s="1">
        <v>114.4</v>
      </c>
      <c r="H85" s="1">
        <v>126.6</v>
      </c>
      <c r="I85" s="1">
        <v>109.2</v>
      </c>
      <c r="J85" s="1">
        <v>132.5</v>
      </c>
      <c r="K85" s="1">
        <v>128.6</v>
      </c>
      <c r="L85" s="1">
        <v>124.8</v>
      </c>
      <c r="M85" s="1">
        <v>95.7</v>
      </c>
      <c r="N85" s="1">
        <v>122.4</v>
      </c>
      <c r="O85" s="1">
        <v>118.5</v>
      </c>
      <c r="P85" s="1">
        <v>129.1</v>
      </c>
      <c r="Q85" s="1">
        <v>124</v>
      </c>
      <c r="R85" s="1">
        <v>126.9</v>
      </c>
      <c r="S85" s="1">
        <v>124.7</v>
      </c>
      <c r="T85" s="1">
        <v>120.8</v>
      </c>
      <c r="U85" s="1">
        <v>124.1</v>
      </c>
      <c r="V85" s="1">
        <v>119.2</v>
      </c>
      <c r="W85" s="1">
        <v>118.7</v>
      </c>
      <c r="X85" s="1">
        <v>119.7</v>
      </c>
      <c r="Y85" s="1">
        <v>117.1</v>
      </c>
      <c r="Z85" s="1">
        <v>110.1</v>
      </c>
      <c r="AA85" s="1">
        <v>115.9</v>
      </c>
      <c r="AB85" s="1">
        <v>121</v>
      </c>
      <c r="AC85" s="1">
        <v>111.7</v>
      </c>
      <c r="AD85" s="1">
        <v>115.1</v>
      </c>
      <c r="AE85" s="1">
        <v>120.7</v>
      </c>
      <c r="AF85" s="6">
        <f t="shared" si="4"/>
        <v>121.20769230769231</v>
      </c>
      <c r="AG85" s="6">
        <f t="shared" si="5"/>
        <v>119.3</v>
      </c>
      <c r="AH85" s="6">
        <f t="shared" si="6"/>
        <v>123.2</v>
      </c>
      <c r="AI85" s="6">
        <f t="shared" si="7"/>
        <v>117.74000000000001</v>
      </c>
      <c r="AJ85" s="6">
        <f>IFERROR(AVERAGE(Main[[#This Row],[Health]],Main[[#This Row],[Personal care and effects]]),"NA")</f>
        <v>114.4</v>
      </c>
    </row>
    <row r="86" spans="1:36" ht="13.2" x14ac:dyDescent="0.25">
      <c r="A86" s="1" t="s">
        <v>36</v>
      </c>
      <c r="B86" s="1">
        <v>2015</v>
      </c>
      <c r="C86" s="1" t="s">
        <v>44</v>
      </c>
      <c r="D86" s="8">
        <f>DATEVALUE(Main[[#This Row],[Month]]&amp;Main[[#This Row],[Year]])</f>
        <v>42125</v>
      </c>
      <c r="E86" s="1">
        <v>123.5</v>
      </c>
      <c r="F86" s="1">
        <v>127.1</v>
      </c>
      <c r="G86" s="1">
        <v>117.3</v>
      </c>
      <c r="H86" s="1">
        <v>127.7</v>
      </c>
      <c r="I86" s="1">
        <v>112.5</v>
      </c>
      <c r="J86" s="1">
        <v>134.1</v>
      </c>
      <c r="K86" s="1">
        <v>128.5</v>
      </c>
      <c r="L86" s="1">
        <v>124.3</v>
      </c>
      <c r="M86" s="1">
        <v>97.6</v>
      </c>
      <c r="N86" s="1">
        <v>120.7</v>
      </c>
      <c r="O86" s="1">
        <v>120.2</v>
      </c>
      <c r="P86" s="1">
        <v>129.80000000000001</v>
      </c>
      <c r="Q86" s="1">
        <v>124.4</v>
      </c>
      <c r="R86" s="1">
        <v>126.7</v>
      </c>
      <c r="S86" s="1">
        <v>127.3</v>
      </c>
      <c r="T86" s="1">
        <v>124.1</v>
      </c>
      <c r="U86" s="1">
        <v>126.8</v>
      </c>
      <c r="V86" s="1" t="s">
        <v>38</v>
      </c>
      <c r="W86" s="1">
        <v>121.9</v>
      </c>
      <c r="X86" s="1">
        <v>121.5</v>
      </c>
      <c r="Y86" s="1">
        <v>119.4</v>
      </c>
      <c r="Z86" s="1">
        <v>113.3</v>
      </c>
      <c r="AA86" s="1">
        <v>116.7</v>
      </c>
      <c r="AB86" s="1">
        <v>120.5</v>
      </c>
      <c r="AC86" s="1">
        <v>112.3</v>
      </c>
      <c r="AD86" s="1">
        <v>116.9</v>
      </c>
      <c r="AE86" s="1">
        <v>122.4</v>
      </c>
      <c r="AF86" s="6">
        <f t="shared" si="4"/>
        <v>122.13076923076923</v>
      </c>
      <c r="AG86" s="6">
        <f t="shared" si="5"/>
        <v>120.10000000000001</v>
      </c>
      <c r="AH86" s="6">
        <f t="shared" si="6"/>
        <v>126.06666666666666</v>
      </c>
      <c r="AI86" s="6">
        <f t="shared" si="7"/>
        <v>119.3</v>
      </c>
      <c r="AJ86" s="6">
        <f>IFERROR(AVERAGE(Main[[#This Row],[Health]],Main[[#This Row],[Personal care and effects]]),"NA")</f>
        <v>115.85</v>
      </c>
    </row>
    <row r="87" spans="1:36" ht="13.2" x14ac:dyDescent="0.25">
      <c r="A87" s="1" t="s">
        <v>39</v>
      </c>
      <c r="B87" s="1">
        <v>2015</v>
      </c>
      <c r="C87" s="1" t="s">
        <v>44</v>
      </c>
      <c r="D87" s="8">
        <f>DATEVALUE(Main[[#This Row],[Month]]&amp;Main[[#This Row],[Year]])</f>
        <v>42125</v>
      </c>
      <c r="E87" s="1">
        <v>123.8</v>
      </c>
      <c r="F87" s="1">
        <v>129.69999999999999</v>
      </c>
      <c r="G87" s="1">
        <v>111.3</v>
      </c>
      <c r="H87" s="1">
        <v>126.6</v>
      </c>
      <c r="I87" s="1">
        <v>105.2</v>
      </c>
      <c r="J87" s="1">
        <v>130.80000000000001</v>
      </c>
      <c r="K87" s="1">
        <v>135.6</v>
      </c>
      <c r="L87" s="1">
        <v>142.6</v>
      </c>
      <c r="M87" s="1">
        <v>90.8</v>
      </c>
      <c r="N87" s="1">
        <v>128.80000000000001</v>
      </c>
      <c r="O87" s="1">
        <v>117.7</v>
      </c>
      <c r="P87" s="1">
        <v>129.9</v>
      </c>
      <c r="Q87" s="1">
        <v>126.1</v>
      </c>
      <c r="R87" s="1">
        <v>131.30000000000001</v>
      </c>
      <c r="S87" s="1">
        <v>122.4</v>
      </c>
      <c r="T87" s="1">
        <v>117.4</v>
      </c>
      <c r="U87" s="1">
        <v>121.6</v>
      </c>
      <c r="V87" s="1">
        <v>119.6</v>
      </c>
      <c r="W87" s="1">
        <v>114.9</v>
      </c>
      <c r="X87" s="1">
        <v>118.7</v>
      </c>
      <c r="Y87" s="1">
        <v>114.9</v>
      </c>
      <c r="Z87" s="1">
        <v>110.8</v>
      </c>
      <c r="AA87" s="1">
        <v>116</v>
      </c>
      <c r="AB87" s="1">
        <v>122</v>
      </c>
      <c r="AC87" s="1">
        <v>112.4</v>
      </c>
      <c r="AD87" s="1">
        <v>115.2</v>
      </c>
      <c r="AE87" s="1">
        <v>120.7</v>
      </c>
      <c r="AF87" s="6">
        <f t="shared" si="4"/>
        <v>122.9923076923077</v>
      </c>
      <c r="AG87" s="6">
        <f t="shared" si="5"/>
        <v>120.83333333333333</v>
      </c>
      <c r="AH87" s="6">
        <f t="shared" si="6"/>
        <v>120.46666666666665</v>
      </c>
      <c r="AI87" s="6">
        <f t="shared" si="7"/>
        <v>117.2</v>
      </c>
      <c r="AJ87" s="6">
        <f>IFERROR(AVERAGE(Main[[#This Row],[Health]],Main[[#This Row],[Personal care and effects]]),"NA")</f>
        <v>113.65</v>
      </c>
    </row>
    <row r="88" spans="1:36" ht="13.2" x14ac:dyDescent="0.25">
      <c r="A88" s="1" t="s">
        <v>40</v>
      </c>
      <c r="B88" s="1">
        <v>2015</v>
      </c>
      <c r="C88" s="1" t="s">
        <v>44</v>
      </c>
      <c r="D88" s="8">
        <f>DATEVALUE(Main[[#This Row],[Month]]&amp;Main[[#This Row],[Year]])</f>
        <v>42125</v>
      </c>
      <c r="E88" s="1">
        <v>123.6</v>
      </c>
      <c r="F88" s="1">
        <v>128</v>
      </c>
      <c r="G88" s="1">
        <v>115</v>
      </c>
      <c r="H88" s="1">
        <v>127.3</v>
      </c>
      <c r="I88" s="1">
        <v>109.8</v>
      </c>
      <c r="J88" s="1">
        <v>132.6</v>
      </c>
      <c r="K88" s="1">
        <v>130.9</v>
      </c>
      <c r="L88" s="1">
        <v>130.5</v>
      </c>
      <c r="M88" s="1">
        <v>95.3</v>
      </c>
      <c r="N88" s="1">
        <v>123.4</v>
      </c>
      <c r="O88" s="1">
        <v>119.2</v>
      </c>
      <c r="P88" s="1">
        <v>129.80000000000001</v>
      </c>
      <c r="Q88" s="1">
        <v>125</v>
      </c>
      <c r="R88" s="1">
        <v>127.9</v>
      </c>
      <c r="S88" s="1">
        <v>125.4</v>
      </c>
      <c r="T88" s="1">
        <v>121.3</v>
      </c>
      <c r="U88" s="1">
        <v>124.7</v>
      </c>
      <c r="V88" s="1">
        <v>119.6</v>
      </c>
      <c r="W88" s="1">
        <v>119.2</v>
      </c>
      <c r="X88" s="1">
        <v>120.2</v>
      </c>
      <c r="Y88" s="1">
        <v>117.7</v>
      </c>
      <c r="Z88" s="1">
        <v>112</v>
      </c>
      <c r="AA88" s="1">
        <v>116.3</v>
      </c>
      <c r="AB88" s="1">
        <v>121.4</v>
      </c>
      <c r="AC88" s="1">
        <v>112.3</v>
      </c>
      <c r="AD88" s="1">
        <v>116.1</v>
      </c>
      <c r="AE88" s="1">
        <v>121.6</v>
      </c>
      <c r="AF88" s="6">
        <f t="shared" si="4"/>
        <v>122.33846153846154</v>
      </c>
      <c r="AG88" s="6">
        <f t="shared" si="5"/>
        <v>120.09999999999998</v>
      </c>
      <c r="AH88" s="6">
        <f t="shared" si="6"/>
        <v>123.8</v>
      </c>
      <c r="AI88" s="6">
        <f t="shared" si="7"/>
        <v>118.47999999999999</v>
      </c>
      <c r="AJ88" s="6">
        <f>IFERROR(AVERAGE(Main[[#This Row],[Health]],Main[[#This Row],[Personal care and effects]]),"NA")</f>
        <v>115</v>
      </c>
    </row>
    <row r="89" spans="1:36" ht="13.2" x14ac:dyDescent="0.25">
      <c r="A89" s="1" t="s">
        <v>36</v>
      </c>
      <c r="B89" s="1">
        <v>2015</v>
      </c>
      <c r="C89" s="1" t="s">
        <v>45</v>
      </c>
      <c r="D89" s="8">
        <f>DATEVALUE(Main[[#This Row],[Month]]&amp;Main[[#This Row],[Year]])</f>
        <v>42156</v>
      </c>
      <c r="E89" s="1">
        <v>124.1</v>
      </c>
      <c r="F89" s="1">
        <v>130.4</v>
      </c>
      <c r="G89" s="1">
        <v>122.1</v>
      </c>
      <c r="H89" s="1">
        <v>128.69999999999999</v>
      </c>
      <c r="I89" s="1">
        <v>114.1</v>
      </c>
      <c r="J89" s="1">
        <v>133.19999999999999</v>
      </c>
      <c r="K89" s="1">
        <v>135.19999999999999</v>
      </c>
      <c r="L89" s="1">
        <v>131.9</v>
      </c>
      <c r="M89" s="1">
        <v>96.3</v>
      </c>
      <c r="N89" s="1">
        <v>123</v>
      </c>
      <c r="O89" s="1">
        <v>121.1</v>
      </c>
      <c r="P89" s="1">
        <v>131.19999999999999</v>
      </c>
      <c r="Q89" s="1">
        <v>126.6</v>
      </c>
      <c r="R89" s="1">
        <v>128.19999999999999</v>
      </c>
      <c r="S89" s="1">
        <v>128.4</v>
      </c>
      <c r="T89" s="1">
        <v>125.1</v>
      </c>
      <c r="U89" s="1">
        <v>128</v>
      </c>
      <c r="V89" s="1" t="s">
        <v>38</v>
      </c>
      <c r="W89" s="1">
        <v>122.6</v>
      </c>
      <c r="X89" s="1">
        <v>122.8</v>
      </c>
      <c r="Y89" s="1">
        <v>120.4</v>
      </c>
      <c r="Z89" s="1">
        <v>114.2</v>
      </c>
      <c r="AA89" s="1">
        <v>117.9</v>
      </c>
      <c r="AB89" s="1">
        <v>122</v>
      </c>
      <c r="AC89" s="1">
        <v>113</v>
      </c>
      <c r="AD89" s="1">
        <v>117.9</v>
      </c>
      <c r="AE89" s="1">
        <v>124.1</v>
      </c>
      <c r="AF89" s="6">
        <f t="shared" si="4"/>
        <v>124.45384615384614</v>
      </c>
      <c r="AG89" s="6">
        <f t="shared" si="5"/>
        <v>121.33333333333333</v>
      </c>
      <c r="AH89" s="6">
        <f t="shared" si="6"/>
        <v>127.16666666666667</v>
      </c>
      <c r="AI89" s="6">
        <f t="shared" si="7"/>
        <v>120.39999999999999</v>
      </c>
      <c r="AJ89" s="6">
        <f>IFERROR(AVERAGE(Main[[#This Row],[Health]],Main[[#This Row],[Personal care and effects]]),"NA")</f>
        <v>116.7</v>
      </c>
    </row>
    <row r="90" spans="1:36" ht="13.2" x14ac:dyDescent="0.25">
      <c r="A90" s="1" t="s">
        <v>39</v>
      </c>
      <c r="B90" s="1">
        <v>2015</v>
      </c>
      <c r="C90" s="1" t="s">
        <v>45</v>
      </c>
      <c r="D90" s="8">
        <f>DATEVALUE(Main[[#This Row],[Month]]&amp;Main[[#This Row],[Year]])</f>
        <v>42156</v>
      </c>
      <c r="E90" s="1">
        <v>123.6</v>
      </c>
      <c r="F90" s="1">
        <v>134.4</v>
      </c>
      <c r="G90" s="1">
        <v>120.9</v>
      </c>
      <c r="H90" s="1">
        <v>127.3</v>
      </c>
      <c r="I90" s="1">
        <v>106</v>
      </c>
      <c r="J90" s="1">
        <v>132.30000000000001</v>
      </c>
      <c r="K90" s="1">
        <v>146.69999999999999</v>
      </c>
      <c r="L90" s="1">
        <v>148.1</v>
      </c>
      <c r="M90" s="1">
        <v>89.8</v>
      </c>
      <c r="N90" s="1">
        <v>130.5</v>
      </c>
      <c r="O90" s="1">
        <v>118</v>
      </c>
      <c r="P90" s="1">
        <v>130.5</v>
      </c>
      <c r="Q90" s="1">
        <v>128.5</v>
      </c>
      <c r="R90" s="1">
        <v>132.1</v>
      </c>
      <c r="S90" s="1">
        <v>123.2</v>
      </c>
      <c r="T90" s="1">
        <v>117.6</v>
      </c>
      <c r="U90" s="1">
        <v>122.3</v>
      </c>
      <c r="V90" s="1">
        <v>119</v>
      </c>
      <c r="W90" s="1">
        <v>115.1</v>
      </c>
      <c r="X90" s="1">
        <v>119.2</v>
      </c>
      <c r="Y90" s="1">
        <v>115.4</v>
      </c>
      <c r="Z90" s="1">
        <v>111.7</v>
      </c>
      <c r="AA90" s="1">
        <v>116.2</v>
      </c>
      <c r="AB90" s="1">
        <v>123.8</v>
      </c>
      <c r="AC90" s="1">
        <v>112.5</v>
      </c>
      <c r="AD90" s="1">
        <v>116</v>
      </c>
      <c r="AE90" s="1">
        <v>121.7</v>
      </c>
      <c r="AF90" s="6">
        <f t="shared" si="4"/>
        <v>125.89230769230768</v>
      </c>
      <c r="AG90" s="6">
        <f t="shared" si="5"/>
        <v>121.43333333333334</v>
      </c>
      <c r="AH90" s="6">
        <f t="shared" si="6"/>
        <v>121.03333333333335</v>
      </c>
      <c r="AI90" s="6">
        <f t="shared" si="7"/>
        <v>117.75999999999999</v>
      </c>
      <c r="AJ90" s="6">
        <f>IFERROR(AVERAGE(Main[[#This Row],[Health]],Main[[#This Row],[Personal care and effects]]),"NA")</f>
        <v>113.95</v>
      </c>
    </row>
    <row r="91" spans="1:36" ht="13.2" x14ac:dyDescent="0.25">
      <c r="A91" s="1" t="s">
        <v>40</v>
      </c>
      <c r="B91" s="1">
        <v>2015</v>
      </c>
      <c r="C91" s="1" t="s">
        <v>45</v>
      </c>
      <c r="D91" s="8">
        <f>DATEVALUE(Main[[#This Row],[Month]]&amp;Main[[#This Row],[Year]])</f>
        <v>42156</v>
      </c>
      <c r="E91" s="1">
        <v>123.9</v>
      </c>
      <c r="F91" s="1">
        <v>131.80000000000001</v>
      </c>
      <c r="G91" s="1">
        <v>121.6</v>
      </c>
      <c r="H91" s="1">
        <v>128.19999999999999</v>
      </c>
      <c r="I91" s="1">
        <v>111.1</v>
      </c>
      <c r="J91" s="1">
        <v>132.80000000000001</v>
      </c>
      <c r="K91" s="1">
        <v>139.1</v>
      </c>
      <c r="L91" s="1">
        <v>137.4</v>
      </c>
      <c r="M91" s="1">
        <v>94.1</v>
      </c>
      <c r="N91" s="1">
        <v>125.5</v>
      </c>
      <c r="O91" s="1">
        <v>119.8</v>
      </c>
      <c r="P91" s="1">
        <v>130.9</v>
      </c>
      <c r="Q91" s="1">
        <v>127.3</v>
      </c>
      <c r="R91" s="1">
        <v>129.19999999999999</v>
      </c>
      <c r="S91" s="1">
        <v>126.4</v>
      </c>
      <c r="T91" s="1">
        <v>122</v>
      </c>
      <c r="U91" s="1">
        <v>125.7</v>
      </c>
      <c r="V91" s="1">
        <v>119</v>
      </c>
      <c r="W91" s="1">
        <v>119.8</v>
      </c>
      <c r="X91" s="1">
        <v>121.1</v>
      </c>
      <c r="Y91" s="1">
        <v>118.5</v>
      </c>
      <c r="Z91" s="1">
        <v>112.9</v>
      </c>
      <c r="AA91" s="1">
        <v>116.9</v>
      </c>
      <c r="AB91" s="1">
        <v>123.1</v>
      </c>
      <c r="AC91" s="1">
        <v>112.8</v>
      </c>
      <c r="AD91" s="1">
        <v>117</v>
      </c>
      <c r="AE91" s="1">
        <v>123</v>
      </c>
      <c r="AF91" s="6">
        <f t="shared" si="4"/>
        <v>124.88461538461539</v>
      </c>
      <c r="AG91" s="6">
        <f t="shared" si="5"/>
        <v>121.03333333333335</v>
      </c>
      <c r="AH91" s="6">
        <f t="shared" si="6"/>
        <v>124.7</v>
      </c>
      <c r="AI91" s="6">
        <f t="shared" si="7"/>
        <v>119.17999999999999</v>
      </c>
      <c r="AJ91" s="6">
        <f>IFERROR(AVERAGE(Main[[#This Row],[Health]],Main[[#This Row],[Personal care and effects]]),"NA")</f>
        <v>115.65</v>
      </c>
    </row>
    <row r="92" spans="1:36" ht="13.2" x14ac:dyDescent="0.25">
      <c r="A92" s="1" t="s">
        <v>36</v>
      </c>
      <c r="B92" s="1">
        <v>2015</v>
      </c>
      <c r="C92" s="1" t="s">
        <v>46</v>
      </c>
      <c r="D92" s="8">
        <f>DATEVALUE(Main[[#This Row],[Month]]&amp;Main[[#This Row],[Year]])</f>
        <v>42186</v>
      </c>
      <c r="E92" s="1">
        <v>124</v>
      </c>
      <c r="F92" s="1">
        <v>131.5</v>
      </c>
      <c r="G92" s="1">
        <v>122</v>
      </c>
      <c r="H92" s="1">
        <v>128.69999999999999</v>
      </c>
      <c r="I92" s="1">
        <v>113.5</v>
      </c>
      <c r="J92" s="1">
        <v>133.30000000000001</v>
      </c>
      <c r="K92" s="1">
        <v>140.80000000000001</v>
      </c>
      <c r="L92" s="1">
        <v>133.80000000000001</v>
      </c>
      <c r="M92" s="1">
        <v>94.1</v>
      </c>
      <c r="N92" s="1">
        <v>123.4</v>
      </c>
      <c r="O92" s="1">
        <v>121</v>
      </c>
      <c r="P92" s="1">
        <v>131.69999999999999</v>
      </c>
      <c r="Q92" s="1">
        <v>127.5</v>
      </c>
      <c r="R92" s="1">
        <v>129.4</v>
      </c>
      <c r="S92" s="1">
        <v>128.80000000000001</v>
      </c>
      <c r="T92" s="1">
        <v>125.5</v>
      </c>
      <c r="U92" s="1">
        <v>128.30000000000001</v>
      </c>
      <c r="V92" s="1" t="s">
        <v>38</v>
      </c>
      <c r="W92" s="1">
        <v>123</v>
      </c>
      <c r="X92" s="1">
        <v>123</v>
      </c>
      <c r="Y92" s="1">
        <v>120.8</v>
      </c>
      <c r="Z92" s="1">
        <v>114.1</v>
      </c>
      <c r="AA92" s="1">
        <v>118</v>
      </c>
      <c r="AB92" s="1">
        <v>122.9</v>
      </c>
      <c r="AC92" s="1">
        <v>112.7</v>
      </c>
      <c r="AD92" s="1">
        <v>118.1</v>
      </c>
      <c r="AE92" s="1">
        <v>124.7</v>
      </c>
      <c r="AF92" s="6">
        <f t="shared" si="4"/>
        <v>125.02307692307691</v>
      </c>
      <c r="AG92" s="6">
        <f t="shared" si="5"/>
        <v>121.83333333333333</v>
      </c>
      <c r="AH92" s="6">
        <f t="shared" si="6"/>
        <v>127.53333333333335</v>
      </c>
      <c r="AI92" s="6">
        <f t="shared" si="7"/>
        <v>120.75</v>
      </c>
      <c r="AJ92" s="6">
        <f>IFERROR(AVERAGE(Main[[#This Row],[Health]],Main[[#This Row],[Personal care and effects]]),"NA")</f>
        <v>116.75</v>
      </c>
    </row>
    <row r="93" spans="1:36" ht="13.2" x14ac:dyDescent="0.25">
      <c r="A93" s="1" t="s">
        <v>39</v>
      </c>
      <c r="B93" s="1">
        <v>2015</v>
      </c>
      <c r="C93" s="1" t="s">
        <v>46</v>
      </c>
      <c r="D93" s="8">
        <f>DATEVALUE(Main[[#This Row],[Month]]&amp;Main[[#This Row],[Year]])</f>
        <v>42186</v>
      </c>
      <c r="E93" s="1">
        <v>123.2</v>
      </c>
      <c r="F93" s="1">
        <v>134.30000000000001</v>
      </c>
      <c r="G93" s="1">
        <v>119.5</v>
      </c>
      <c r="H93" s="1">
        <v>127.7</v>
      </c>
      <c r="I93" s="1">
        <v>106.3</v>
      </c>
      <c r="J93" s="1">
        <v>132.80000000000001</v>
      </c>
      <c r="K93" s="1">
        <v>153.5</v>
      </c>
      <c r="L93" s="1">
        <v>149.5</v>
      </c>
      <c r="M93" s="1">
        <v>85.7</v>
      </c>
      <c r="N93" s="1">
        <v>131.5</v>
      </c>
      <c r="O93" s="1">
        <v>118.3</v>
      </c>
      <c r="P93" s="1">
        <v>131.1</v>
      </c>
      <c r="Q93" s="1">
        <v>129.5</v>
      </c>
      <c r="R93" s="1">
        <v>133.1</v>
      </c>
      <c r="S93" s="1">
        <v>123.5</v>
      </c>
      <c r="T93" s="1">
        <v>117.9</v>
      </c>
      <c r="U93" s="1">
        <v>122.7</v>
      </c>
      <c r="V93" s="1">
        <v>119.9</v>
      </c>
      <c r="W93" s="1">
        <v>115.3</v>
      </c>
      <c r="X93" s="1">
        <v>119.5</v>
      </c>
      <c r="Y93" s="1">
        <v>116</v>
      </c>
      <c r="Z93" s="1">
        <v>111.5</v>
      </c>
      <c r="AA93" s="1">
        <v>116.6</v>
      </c>
      <c r="AB93" s="1">
        <v>125.4</v>
      </c>
      <c r="AC93" s="1">
        <v>111.7</v>
      </c>
      <c r="AD93" s="1">
        <v>116.3</v>
      </c>
      <c r="AE93" s="1">
        <v>122.4</v>
      </c>
      <c r="AF93" s="6">
        <f t="shared" si="4"/>
        <v>126.37692307692306</v>
      </c>
      <c r="AG93" s="6">
        <f t="shared" si="5"/>
        <v>122</v>
      </c>
      <c r="AH93" s="6">
        <f t="shared" si="6"/>
        <v>121.36666666666667</v>
      </c>
      <c r="AI93" s="6">
        <f t="shared" si="7"/>
        <v>118.32000000000001</v>
      </c>
      <c r="AJ93" s="6">
        <f>IFERROR(AVERAGE(Main[[#This Row],[Health]],Main[[#This Row],[Personal care and effects]]),"NA")</f>
        <v>113.85</v>
      </c>
    </row>
    <row r="94" spans="1:36" ht="13.2" x14ac:dyDescent="0.25">
      <c r="A94" s="1" t="s">
        <v>40</v>
      </c>
      <c r="B94" s="1">
        <v>2015</v>
      </c>
      <c r="C94" s="1" t="s">
        <v>46</v>
      </c>
      <c r="D94" s="8">
        <f>DATEVALUE(Main[[#This Row],[Month]]&amp;Main[[#This Row],[Year]])</f>
        <v>42186</v>
      </c>
      <c r="E94" s="1">
        <v>123.7</v>
      </c>
      <c r="F94" s="1">
        <v>132.5</v>
      </c>
      <c r="G94" s="1">
        <v>121</v>
      </c>
      <c r="H94" s="1">
        <v>128.30000000000001</v>
      </c>
      <c r="I94" s="1">
        <v>110.9</v>
      </c>
      <c r="J94" s="1">
        <v>133.1</v>
      </c>
      <c r="K94" s="1">
        <v>145.1</v>
      </c>
      <c r="L94" s="1">
        <v>139.1</v>
      </c>
      <c r="M94" s="1">
        <v>91.3</v>
      </c>
      <c r="N94" s="1">
        <v>126.1</v>
      </c>
      <c r="O94" s="1">
        <v>119.9</v>
      </c>
      <c r="P94" s="1">
        <v>131.4</v>
      </c>
      <c r="Q94" s="1">
        <v>128.19999999999999</v>
      </c>
      <c r="R94" s="1">
        <v>130.4</v>
      </c>
      <c r="S94" s="1">
        <v>126.7</v>
      </c>
      <c r="T94" s="1">
        <v>122.3</v>
      </c>
      <c r="U94" s="1">
        <v>126.1</v>
      </c>
      <c r="V94" s="1">
        <v>119.9</v>
      </c>
      <c r="W94" s="1">
        <v>120.1</v>
      </c>
      <c r="X94" s="1">
        <v>121.3</v>
      </c>
      <c r="Y94" s="1">
        <v>119</v>
      </c>
      <c r="Z94" s="1">
        <v>112.7</v>
      </c>
      <c r="AA94" s="1">
        <v>117.2</v>
      </c>
      <c r="AB94" s="1">
        <v>124.4</v>
      </c>
      <c r="AC94" s="1">
        <v>112.3</v>
      </c>
      <c r="AD94" s="1">
        <v>117.2</v>
      </c>
      <c r="AE94" s="1">
        <v>123.6</v>
      </c>
      <c r="AF94" s="6">
        <f t="shared" si="4"/>
        <v>125.43076923076924</v>
      </c>
      <c r="AG94" s="6">
        <f t="shared" si="5"/>
        <v>121.60000000000001</v>
      </c>
      <c r="AH94" s="6">
        <f t="shared" si="6"/>
        <v>125.03333333333335</v>
      </c>
      <c r="AI94" s="6">
        <f t="shared" si="7"/>
        <v>119.67999999999999</v>
      </c>
      <c r="AJ94" s="6">
        <f>IFERROR(AVERAGE(Main[[#This Row],[Health]],Main[[#This Row],[Personal care and effects]]),"NA")</f>
        <v>115.65</v>
      </c>
    </row>
    <row r="95" spans="1:36" ht="13.2" x14ac:dyDescent="0.25">
      <c r="A95" s="1" t="s">
        <v>36</v>
      </c>
      <c r="B95" s="1">
        <v>2015</v>
      </c>
      <c r="C95" s="1" t="s">
        <v>47</v>
      </c>
      <c r="D95" s="8">
        <f>DATEVALUE(Main[[#This Row],[Month]]&amp;Main[[#This Row],[Year]])</f>
        <v>42217</v>
      </c>
      <c r="E95" s="1">
        <v>124.7</v>
      </c>
      <c r="F95" s="1">
        <v>131.30000000000001</v>
      </c>
      <c r="G95" s="1">
        <v>121.3</v>
      </c>
      <c r="H95" s="1">
        <v>128.80000000000001</v>
      </c>
      <c r="I95" s="1">
        <v>114</v>
      </c>
      <c r="J95" s="1">
        <v>134.19999999999999</v>
      </c>
      <c r="K95" s="1">
        <v>153.6</v>
      </c>
      <c r="L95" s="1">
        <v>137.9</v>
      </c>
      <c r="M95" s="1">
        <v>93.1</v>
      </c>
      <c r="N95" s="1">
        <v>123.9</v>
      </c>
      <c r="O95" s="1">
        <v>121.5</v>
      </c>
      <c r="P95" s="1">
        <v>132.5</v>
      </c>
      <c r="Q95" s="1">
        <v>129.80000000000001</v>
      </c>
      <c r="R95" s="1">
        <v>130.1</v>
      </c>
      <c r="S95" s="1">
        <v>129.5</v>
      </c>
      <c r="T95" s="1">
        <v>126.3</v>
      </c>
      <c r="U95" s="1">
        <v>129</v>
      </c>
      <c r="V95" s="1" t="s">
        <v>38</v>
      </c>
      <c r="W95" s="1">
        <v>123.8</v>
      </c>
      <c r="X95" s="1">
        <v>123.7</v>
      </c>
      <c r="Y95" s="1">
        <v>121.1</v>
      </c>
      <c r="Z95" s="1">
        <v>113.6</v>
      </c>
      <c r="AA95" s="1">
        <v>118.5</v>
      </c>
      <c r="AB95" s="1">
        <v>123.6</v>
      </c>
      <c r="AC95" s="1">
        <v>112.5</v>
      </c>
      <c r="AD95" s="1">
        <v>118.2</v>
      </c>
      <c r="AE95" s="1">
        <v>126.1</v>
      </c>
      <c r="AF95" s="6">
        <f t="shared" si="4"/>
        <v>126.66153846153846</v>
      </c>
      <c r="AG95" s="6">
        <f t="shared" si="5"/>
        <v>122.26666666666667</v>
      </c>
      <c r="AH95" s="6">
        <f t="shared" si="6"/>
        <v>128.26666666666668</v>
      </c>
      <c r="AI95" s="6">
        <f t="shared" si="7"/>
        <v>121.17500000000001</v>
      </c>
      <c r="AJ95" s="6">
        <f>IFERROR(AVERAGE(Main[[#This Row],[Health]],Main[[#This Row],[Personal care and effects]]),"NA")</f>
        <v>116.8</v>
      </c>
    </row>
    <row r="96" spans="1:36" ht="13.2" x14ac:dyDescent="0.25">
      <c r="A96" s="1" t="s">
        <v>39</v>
      </c>
      <c r="B96" s="1">
        <v>2015</v>
      </c>
      <c r="C96" s="1" t="s">
        <v>47</v>
      </c>
      <c r="D96" s="8">
        <f>DATEVALUE(Main[[#This Row],[Month]]&amp;Main[[#This Row],[Year]])</f>
        <v>42217</v>
      </c>
      <c r="E96" s="1">
        <v>123.1</v>
      </c>
      <c r="F96" s="1">
        <v>131.69999999999999</v>
      </c>
      <c r="G96" s="1">
        <v>118.1</v>
      </c>
      <c r="H96" s="1">
        <v>128</v>
      </c>
      <c r="I96" s="1">
        <v>106.8</v>
      </c>
      <c r="J96" s="1">
        <v>130.1</v>
      </c>
      <c r="K96" s="1">
        <v>165.5</v>
      </c>
      <c r="L96" s="1">
        <v>156</v>
      </c>
      <c r="M96" s="1">
        <v>85.3</v>
      </c>
      <c r="N96" s="1">
        <v>132.69999999999999</v>
      </c>
      <c r="O96" s="1">
        <v>118.8</v>
      </c>
      <c r="P96" s="1">
        <v>131.69999999999999</v>
      </c>
      <c r="Q96" s="1">
        <v>131.1</v>
      </c>
      <c r="R96" s="1">
        <v>134.19999999999999</v>
      </c>
      <c r="S96" s="1">
        <v>123.7</v>
      </c>
      <c r="T96" s="1">
        <v>118.2</v>
      </c>
      <c r="U96" s="1">
        <v>122.9</v>
      </c>
      <c r="V96" s="1">
        <v>120.9</v>
      </c>
      <c r="W96" s="1">
        <v>115.3</v>
      </c>
      <c r="X96" s="1">
        <v>120</v>
      </c>
      <c r="Y96" s="1">
        <v>116.6</v>
      </c>
      <c r="Z96" s="1">
        <v>109.9</v>
      </c>
      <c r="AA96" s="1">
        <v>117.2</v>
      </c>
      <c r="AB96" s="1">
        <v>126.2</v>
      </c>
      <c r="AC96" s="1">
        <v>112</v>
      </c>
      <c r="AD96" s="1">
        <v>116.2</v>
      </c>
      <c r="AE96" s="1">
        <v>123.2</v>
      </c>
      <c r="AF96" s="6">
        <f t="shared" si="4"/>
        <v>127.6076923076923</v>
      </c>
      <c r="AG96" s="6">
        <f t="shared" si="5"/>
        <v>122.53333333333332</v>
      </c>
      <c r="AH96" s="6">
        <f t="shared" si="6"/>
        <v>121.60000000000001</v>
      </c>
      <c r="AI96" s="6">
        <f t="shared" si="7"/>
        <v>118.46000000000001</v>
      </c>
      <c r="AJ96" s="6">
        <f>IFERROR(AVERAGE(Main[[#This Row],[Health]],Main[[#This Row],[Personal care and effects]]),"NA")</f>
        <v>114.3</v>
      </c>
    </row>
    <row r="97" spans="1:36" ht="13.2" x14ac:dyDescent="0.25">
      <c r="A97" s="1" t="s">
        <v>40</v>
      </c>
      <c r="B97" s="1">
        <v>2015</v>
      </c>
      <c r="C97" s="1" t="s">
        <v>47</v>
      </c>
      <c r="D97" s="8">
        <f>DATEVALUE(Main[[#This Row],[Month]]&amp;Main[[#This Row],[Year]])</f>
        <v>42217</v>
      </c>
      <c r="E97" s="1">
        <v>124.2</v>
      </c>
      <c r="F97" s="1">
        <v>131.4</v>
      </c>
      <c r="G97" s="1">
        <v>120.1</v>
      </c>
      <c r="H97" s="1">
        <v>128.5</v>
      </c>
      <c r="I97" s="1">
        <v>111.4</v>
      </c>
      <c r="J97" s="1">
        <v>132.30000000000001</v>
      </c>
      <c r="K97" s="1">
        <v>157.6</v>
      </c>
      <c r="L97" s="1">
        <v>144</v>
      </c>
      <c r="M97" s="1">
        <v>90.5</v>
      </c>
      <c r="N97" s="1">
        <v>126.8</v>
      </c>
      <c r="O97" s="1">
        <v>120.4</v>
      </c>
      <c r="P97" s="1">
        <v>132.1</v>
      </c>
      <c r="Q97" s="1">
        <v>130.30000000000001</v>
      </c>
      <c r="R97" s="1">
        <v>131.19999999999999</v>
      </c>
      <c r="S97" s="1">
        <v>127.2</v>
      </c>
      <c r="T97" s="1">
        <v>122.9</v>
      </c>
      <c r="U97" s="1">
        <v>126.6</v>
      </c>
      <c r="V97" s="1">
        <v>120.9</v>
      </c>
      <c r="W97" s="1">
        <v>120.6</v>
      </c>
      <c r="X97" s="1">
        <v>122</v>
      </c>
      <c r="Y97" s="1">
        <v>119.4</v>
      </c>
      <c r="Z97" s="1">
        <v>111.7</v>
      </c>
      <c r="AA97" s="1">
        <v>117.8</v>
      </c>
      <c r="AB97" s="1">
        <v>125.1</v>
      </c>
      <c r="AC97" s="1">
        <v>112.3</v>
      </c>
      <c r="AD97" s="1">
        <v>117.2</v>
      </c>
      <c r="AE97" s="1">
        <v>124.8</v>
      </c>
      <c r="AF97" s="6">
        <f t="shared" si="4"/>
        <v>126.89230769230768</v>
      </c>
      <c r="AG97" s="6">
        <f t="shared" si="5"/>
        <v>122.06666666666666</v>
      </c>
      <c r="AH97" s="6">
        <f t="shared" si="6"/>
        <v>125.56666666666668</v>
      </c>
      <c r="AI97" s="6">
        <f t="shared" si="7"/>
        <v>120.05999999999999</v>
      </c>
      <c r="AJ97" s="6">
        <f>IFERROR(AVERAGE(Main[[#This Row],[Health]],Main[[#This Row],[Personal care and effects]]),"NA")</f>
        <v>115.85</v>
      </c>
    </row>
    <row r="98" spans="1:36" ht="13.2" x14ac:dyDescent="0.25">
      <c r="A98" s="1" t="s">
        <v>36</v>
      </c>
      <c r="B98" s="1">
        <v>2015</v>
      </c>
      <c r="C98" s="1" t="s">
        <v>48</v>
      </c>
      <c r="D98" s="8">
        <f>DATEVALUE(Main[[#This Row],[Month]]&amp;Main[[#This Row],[Year]])</f>
        <v>42248</v>
      </c>
      <c r="E98" s="1">
        <v>125.1</v>
      </c>
      <c r="F98" s="1">
        <v>131.1</v>
      </c>
      <c r="G98" s="1">
        <v>120.7</v>
      </c>
      <c r="H98" s="1">
        <v>129.19999999999999</v>
      </c>
      <c r="I98" s="1">
        <v>114.7</v>
      </c>
      <c r="J98" s="1">
        <v>132.30000000000001</v>
      </c>
      <c r="K98" s="1">
        <v>158.9</v>
      </c>
      <c r="L98" s="1">
        <v>142.1</v>
      </c>
      <c r="M98" s="1">
        <v>92.5</v>
      </c>
      <c r="N98" s="1">
        <v>125.4</v>
      </c>
      <c r="O98" s="1">
        <v>121.9</v>
      </c>
      <c r="P98" s="1">
        <v>132.69999999999999</v>
      </c>
      <c r="Q98" s="1">
        <v>131</v>
      </c>
      <c r="R98" s="1">
        <v>131</v>
      </c>
      <c r="S98" s="1">
        <v>130.4</v>
      </c>
      <c r="T98" s="1">
        <v>126.8</v>
      </c>
      <c r="U98" s="1">
        <v>129.9</v>
      </c>
      <c r="V98" s="1" t="s">
        <v>38</v>
      </c>
      <c r="W98" s="1">
        <v>123.7</v>
      </c>
      <c r="X98" s="1">
        <v>124.5</v>
      </c>
      <c r="Y98" s="1">
        <v>121.4</v>
      </c>
      <c r="Z98" s="1">
        <v>113.8</v>
      </c>
      <c r="AA98" s="1">
        <v>119.6</v>
      </c>
      <c r="AB98" s="1">
        <v>124.5</v>
      </c>
      <c r="AC98" s="1">
        <v>113.7</v>
      </c>
      <c r="AD98" s="1">
        <v>118.8</v>
      </c>
      <c r="AE98" s="1">
        <v>127</v>
      </c>
      <c r="AF98" s="6">
        <f t="shared" si="4"/>
        <v>127.50769230769232</v>
      </c>
      <c r="AG98" s="6">
        <f t="shared" si="5"/>
        <v>123.13333333333333</v>
      </c>
      <c r="AH98" s="6">
        <f t="shared" si="6"/>
        <v>129.03333333333333</v>
      </c>
      <c r="AI98" s="6">
        <f t="shared" si="7"/>
        <v>121.625</v>
      </c>
      <c r="AJ98" s="6">
        <f>IFERROR(AVERAGE(Main[[#This Row],[Health]],Main[[#This Row],[Personal care and effects]]),"NA")</f>
        <v>117.55000000000001</v>
      </c>
    </row>
    <row r="99" spans="1:36" ht="13.2" x14ac:dyDescent="0.25">
      <c r="A99" s="1" t="s">
        <v>39</v>
      </c>
      <c r="B99" s="1">
        <v>2015</v>
      </c>
      <c r="C99" s="1" t="s">
        <v>48</v>
      </c>
      <c r="D99" s="8">
        <f>DATEVALUE(Main[[#This Row],[Month]]&amp;Main[[#This Row],[Year]])</f>
        <v>42248</v>
      </c>
      <c r="E99" s="1">
        <v>123.4</v>
      </c>
      <c r="F99" s="1">
        <v>129</v>
      </c>
      <c r="G99" s="1">
        <v>115.6</v>
      </c>
      <c r="H99" s="1">
        <v>128.30000000000001</v>
      </c>
      <c r="I99" s="1">
        <v>107</v>
      </c>
      <c r="J99" s="1">
        <v>124</v>
      </c>
      <c r="K99" s="1">
        <v>168.5</v>
      </c>
      <c r="L99" s="1">
        <v>165.4</v>
      </c>
      <c r="M99" s="1">
        <v>86.3</v>
      </c>
      <c r="N99" s="1">
        <v>134.4</v>
      </c>
      <c r="O99" s="1">
        <v>119.1</v>
      </c>
      <c r="P99" s="1">
        <v>132.30000000000001</v>
      </c>
      <c r="Q99" s="1">
        <v>131.5</v>
      </c>
      <c r="R99" s="1">
        <v>134.69999999999999</v>
      </c>
      <c r="S99" s="1">
        <v>124</v>
      </c>
      <c r="T99" s="1">
        <v>118.6</v>
      </c>
      <c r="U99" s="1">
        <v>123.2</v>
      </c>
      <c r="V99" s="1">
        <v>121.6</v>
      </c>
      <c r="W99" s="1">
        <v>115.1</v>
      </c>
      <c r="X99" s="1">
        <v>120.4</v>
      </c>
      <c r="Y99" s="1">
        <v>117.1</v>
      </c>
      <c r="Z99" s="1">
        <v>109.1</v>
      </c>
      <c r="AA99" s="1">
        <v>117.3</v>
      </c>
      <c r="AB99" s="1">
        <v>126.5</v>
      </c>
      <c r="AC99" s="1">
        <v>112.9</v>
      </c>
      <c r="AD99" s="1">
        <v>116.2</v>
      </c>
      <c r="AE99" s="1">
        <v>123.5</v>
      </c>
      <c r="AF99" s="6">
        <f t="shared" si="4"/>
        <v>128.06153846153845</v>
      </c>
      <c r="AG99" s="6">
        <f t="shared" si="5"/>
        <v>122.73333333333333</v>
      </c>
      <c r="AH99" s="6">
        <f t="shared" si="6"/>
        <v>121.93333333333334</v>
      </c>
      <c r="AI99" s="6">
        <f t="shared" si="7"/>
        <v>118.54</v>
      </c>
      <c r="AJ99" s="6">
        <f>IFERROR(AVERAGE(Main[[#This Row],[Health]],Main[[#This Row],[Personal care and effects]]),"NA")</f>
        <v>115</v>
      </c>
    </row>
    <row r="100" spans="1:36" ht="13.2" x14ac:dyDescent="0.25">
      <c r="A100" s="1" t="s">
        <v>40</v>
      </c>
      <c r="B100" s="1">
        <v>2015</v>
      </c>
      <c r="C100" s="1" t="s">
        <v>48</v>
      </c>
      <c r="D100" s="8">
        <f>DATEVALUE(Main[[#This Row],[Month]]&amp;Main[[#This Row],[Year]])</f>
        <v>42248</v>
      </c>
      <c r="E100" s="1">
        <v>124.6</v>
      </c>
      <c r="F100" s="1">
        <v>130.4</v>
      </c>
      <c r="G100" s="1">
        <v>118.7</v>
      </c>
      <c r="H100" s="1">
        <v>128.9</v>
      </c>
      <c r="I100" s="1">
        <v>111.9</v>
      </c>
      <c r="J100" s="1">
        <v>128.4</v>
      </c>
      <c r="K100" s="1">
        <v>162.19999999999999</v>
      </c>
      <c r="L100" s="1">
        <v>150</v>
      </c>
      <c r="M100" s="1">
        <v>90.4</v>
      </c>
      <c r="N100" s="1">
        <v>128.4</v>
      </c>
      <c r="O100" s="1">
        <v>120.7</v>
      </c>
      <c r="P100" s="1">
        <v>132.5</v>
      </c>
      <c r="Q100" s="1">
        <v>131.19999999999999</v>
      </c>
      <c r="R100" s="1">
        <v>132</v>
      </c>
      <c r="S100" s="1">
        <v>127.9</v>
      </c>
      <c r="T100" s="1">
        <v>123.4</v>
      </c>
      <c r="U100" s="1">
        <v>127.2</v>
      </c>
      <c r="V100" s="1">
        <v>121.6</v>
      </c>
      <c r="W100" s="1">
        <v>120.4</v>
      </c>
      <c r="X100" s="1">
        <v>122.6</v>
      </c>
      <c r="Y100" s="1">
        <v>119.8</v>
      </c>
      <c r="Z100" s="1">
        <v>111.3</v>
      </c>
      <c r="AA100" s="1">
        <v>118.3</v>
      </c>
      <c r="AB100" s="1">
        <v>125.7</v>
      </c>
      <c r="AC100" s="1">
        <v>113.4</v>
      </c>
      <c r="AD100" s="1">
        <v>117.5</v>
      </c>
      <c r="AE100" s="1">
        <v>125.4</v>
      </c>
      <c r="AF100" s="6">
        <f t="shared" si="4"/>
        <v>127.56153846153848</v>
      </c>
      <c r="AG100" s="6">
        <f t="shared" si="5"/>
        <v>122.60000000000001</v>
      </c>
      <c r="AH100" s="6">
        <f t="shared" si="6"/>
        <v>126.16666666666667</v>
      </c>
      <c r="AI100" s="6">
        <f t="shared" si="7"/>
        <v>120.32000000000001</v>
      </c>
      <c r="AJ100" s="6">
        <f>IFERROR(AVERAGE(Main[[#This Row],[Health]],Main[[#This Row],[Personal care and effects]]),"NA")</f>
        <v>116.6</v>
      </c>
    </row>
    <row r="101" spans="1:36" ht="13.2" x14ac:dyDescent="0.25">
      <c r="A101" s="1" t="s">
        <v>36</v>
      </c>
      <c r="B101" s="1">
        <v>2015</v>
      </c>
      <c r="C101" s="1" t="s">
        <v>49</v>
      </c>
      <c r="D101" s="8">
        <f>DATEVALUE(Main[[#This Row],[Month]]&amp;Main[[#This Row],[Year]])</f>
        <v>42278</v>
      </c>
      <c r="E101" s="1">
        <v>125.6</v>
      </c>
      <c r="F101" s="1">
        <v>130.4</v>
      </c>
      <c r="G101" s="1">
        <v>120.8</v>
      </c>
      <c r="H101" s="1">
        <v>129.4</v>
      </c>
      <c r="I101" s="1">
        <v>115.8</v>
      </c>
      <c r="J101" s="1">
        <v>133.19999999999999</v>
      </c>
      <c r="K101" s="1">
        <v>157.69999999999999</v>
      </c>
      <c r="L101" s="1">
        <v>154.19999999999999</v>
      </c>
      <c r="M101" s="1">
        <v>93.7</v>
      </c>
      <c r="N101" s="1">
        <v>126.6</v>
      </c>
      <c r="O101" s="1">
        <v>122.3</v>
      </c>
      <c r="P101" s="1">
        <v>133.1</v>
      </c>
      <c r="Q101" s="1">
        <v>131.80000000000001</v>
      </c>
      <c r="R101" s="1">
        <v>131.5</v>
      </c>
      <c r="S101" s="1">
        <v>131.1</v>
      </c>
      <c r="T101" s="1">
        <v>127.3</v>
      </c>
      <c r="U101" s="1">
        <v>130.6</v>
      </c>
      <c r="V101" s="1" t="s">
        <v>38</v>
      </c>
      <c r="W101" s="1">
        <v>124.4</v>
      </c>
      <c r="X101" s="1">
        <v>125.1</v>
      </c>
      <c r="Y101" s="1">
        <v>122</v>
      </c>
      <c r="Z101" s="1">
        <v>113.8</v>
      </c>
      <c r="AA101" s="1">
        <v>120.1</v>
      </c>
      <c r="AB101" s="1">
        <v>125.1</v>
      </c>
      <c r="AC101" s="1">
        <v>114.2</v>
      </c>
      <c r="AD101" s="1">
        <v>119.2</v>
      </c>
      <c r="AE101" s="1">
        <v>127.7</v>
      </c>
      <c r="AF101" s="6">
        <f t="shared" si="4"/>
        <v>128.8153846153846</v>
      </c>
      <c r="AG101" s="6">
        <f t="shared" si="5"/>
        <v>123.60000000000001</v>
      </c>
      <c r="AH101" s="6">
        <f t="shared" si="6"/>
        <v>129.66666666666666</v>
      </c>
      <c r="AI101" s="6">
        <f t="shared" si="7"/>
        <v>122.1</v>
      </c>
      <c r="AJ101" s="6">
        <f>IFERROR(AVERAGE(Main[[#This Row],[Health]],Main[[#This Row],[Personal care and effects]]),"NA")</f>
        <v>118.1</v>
      </c>
    </row>
    <row r="102" spans="1:36" ht="13.2" x14ac:dyDescent="0.25">
      <c r="A102" s="1" t="s">
        <v>39</v>
      </c>
      <c r="B102" s="1">
        <v>2015</v>
      </c>
      <c r="C102" s="1" t="s">
        <v>49</v>
      </c>
      <c r="D102" s="8">
        <f>DATEVALUE(Main[[#This Row],[Month]]&amp;Main[[#This Row],[Year]])</f>
        <v>42278</v>
      </c>
      <c r="E102" s="1">
        <v>123.6</v>
      </c>
      <c r="F102" s="1">
        <v>128.6</v>
      </c>
      <c r="G102" s="1">
        <v>115.9</v>
      </c>
      <c r="H102" s="1">
        <v>128.5</v>
      </c>
      <c r="I102" s="1">
        <v>109</v>
      </c>
      <c r="J102" s="1">
        <v>124.1</v>
      </c>
      <c r="K102" s="1">
        <v>165.8</v>
      </c>
      <c r="L102" s="1">
        <v>187.2</v>
      </c>
      <c r="M102" s="1">
        <v>89.4</v>
      </c>
      <c r="N102" s="1">
        <v>135.80000000000001</v>
      </c>
      <c r="O102" s="1">
        <v>119.4</v>
      </c>
      <c r="P102" s="1">
        <v>132.9</v>
      </c>
      <c r="Q102" s="1">
        <v>132.6</v>
      </c>
      <c r="R102" s="1">
        <v>135.30000000000001</v>
      </c>
      <c r="S102" s="1">
        <v>124.4</v>
      </c>
      <c r="T102" s="1">
        <v>118.8</v>
      </c>
      <c r="U102" s="1">
        <v>123.6</v>
      </c>
      <c r="V102" s="1">
        <v>122.4</v>
      </c>
      <c r="W102" s="1">
        <v>114.9</v>
      </c>
      <c r="X102" s="1">
        <v>120.7</v>
      </c>
      <c r="Y102" s="1">
        <v>117.7</v>
      </c>
      <c r="Z102" s="1">
        <v>109.3</v>
      </c>
      <c r="AA102" s="1">
        <v>117.7</v>
      </c>
      <c r="AB102" s="1">
        <v>126.5</v>
      </c>
      <c r="AC102" s="1">
        <v>113.5</v>
      </c>
      <c r="AD102" s="1">
        <v>116.5</v>
      </c>
      <c r="AE102" s="1">
        <v>124.2</v>
      </c>
      <c r="AF102" s="6">
        <f t="shared" si="4"/>
        <v>130.21538461538464</v>
      </c>
      <c r="AG102" s="6">
        <f t="shared" si="5"/>
        <v>123.16666666666667</v>
      </c>
      <c r="AH102" s="6">
        <f t="shared" si="6"/>
        <v>122.26666666666665</v>
      </c>
      <c r="AI102" s="6">
        <f t="shared" si="7"/>
        <v>118.75999999999999</v>
      </c>
      <c r="AJ102" s="6">
        <f>IFERROR(AVERAGE(Main[[#This Row],[Health]],Main[[#This Row],[Personal care and effects]]),"NA")</f>
        <v>115.6</v>
      </c>
    </row>
    <row r="103" spans="1:36" ht="13.2" x14ac:dyDescent="0.25">
      <c r="A103" s="1" t="s">
        <v>40</v>
      </c>
      <c r="B103" s="1">
        <v>2015</v>
      </c>
      <c r="C103" s="1" t="s">
        <v>49</v>
      </c>
      <c r="D103" s="8">
        <f>DATEVALUE(Main[[#This Row],[Month]]&amp;Main[[#This Row],[Year]])</f>
        <v>42278</v>
      </c>
      <c r="E103" s="1">
        <v>125</v>
      </c>
      <c r="F103" s="1">
        <v>129.80000000000001</v>
      </c>
      <c r="G103" s="1">
        <v>118.9</v>
      </c>
      <c r="H103" s="1">
        <v>129.1</v>
      </c>
      <c r="I103" s="1">
        <v>113.3</v>
      </c>
      <c r="J103" s="1">
        <v>129</v>
      </c>
      <c r="K103" s="1">
        <v>160.4</v>
      </c>
      <c r="L103" s="1">
        <v>165.3</v>
      </c>
      <c r="M103" s="1">
        <v>92.3</v>
      </c>
      <c r="N103" s="1">
        <v>129.69999999999999</v>
      </c>
      <c r="O103" s="1">
        <v>121.1</v>
      </c>
      <c r="P103" s="1">
        <v>133</v>
      </c>
      <c r="Q103" s="1">
        <v>132.1</v>
      </c>
      <c r="R103" s="1">
        <v>132.5</v>
      </c>
      <c r="S103" s="1">
        <v>128.5</v>
      </c>
      <c r="T103" s="1">
        <v>123.8</v>
      </c>
      <c r="U103" s="1">
        <v>127.8</v>
      </c>
      <c r="V103" s="1">
        <v>122.4</v>
      </c>
      <c r="W103" s="1">
        <v>120.8</v>
      </c>
      <c r="X103" s="1">
        <v>123</v>
      </c>
      <c r="Y103" s="1">
        <v>120.4</v>
      </c>
      <c r="Z103" s="1">
        <v>111.4</v>
      </c>
      <c r="AA103" s="1">
        <v>118.7</v>
      </c>
      <c r="AB103" s="1">
        <v>125.9</v>
      </c>
      <c r="AC103" s="1">
        <v>113.9</v>
      </c>
      <c r="AD103" s="1">
        <v>117.9</v>
      </c>
      <c r="AE103" s="1">
        <v>126.1</v>
      </c>
      <c r="AF103" s="6">
        <f t="shared" si="4"/>
        <v>129.15384615384613</v>
      </c>
      <c r="AG103" s="6">
        <f t="shared" si="5"/>
        <v>123.03333333333335</v>
      </c>
      <c r="AH103" s="6">
        <f t="shared" si="6"/>
        <v>126.7</v>
      </c>
      <c r="AI103" s="6">
        <f t="shared" si="7"/>
        <v>120.7</v>
      </c>
      <c r="AJ103" s="6">
        <f>IFERROR(AVERAGE(Main[[#This Row],[Health]],Main[[#This Row],[Personal care and effects]]),"NA")</f>
        <v>117.15</v>
      </c>
    </row>
    <row r="104" spans="1:36" ht="13.2" x14ac:dyDescent="0.25">
      <c r="A104" s="1" t="s">
        <v>36</v>
      </c>
      <c r="B104" s="1">
        <v>2015</v>
      </c>
      <c r="C104" s="1" t="s">
        <v>50</v>
      </c>
      <c r="D104" s="8">
        <f>DATEVALUE(Main[[#This Row],[Month]]&amp;Main[[#This Row],[Year]])</f>
        <v>42309</v>
      </c>
      <c r="E104" s="1">
        <v>126.1</v>
      </c>
      <c r="F104" s="1">
        <v>130.6</v>
      </c>
      <c r="G104" s="1">
        <v>121.7</v>
      </c>
      <c r="H104" s="1">
        <v>129.5</v>
      </c>
      <c r="I104" s="1">
        <v>117.8</v>
      </c>
      <c r="J104" s="1">
        <v>132.1</v>
      </c>
      <c r="K104" s="1">
        <v>155.19999999999999</v>
      </c>
      <c r="L104" s="1">
        <v>160.80000000000001</v>
      </c>
      <c r="M104" s="1">
        <v>94.5</v>
      </c>
      <c r="N104" s="1">
        <v>128.30000000000001</v>
      </c>
      <c r="O104" s="1">
        <v>123.1</v>
      </c>
      <c r="P104" s="1">
        <v>134.19999999999999</v>
      </c>
      <c r="Q104" s="1">
        <v>132.4</v>
      </c>
      <c r="R104" s="1">
        <v>132.19999999999999</v>
      </c>
      <c r="S104" s="1">
        <v>132.1</v>
      </c>
      <c r="T104" s="1">
        <v>128.19999999999999</v>
      </c>
      <c r="U104" s="1">
        <v>131.5</v>
      </c>
      <c r="V104" s="1" t="s">
        <v>38</v>
      </c>
      <c r="W104" s="1">
        <v>125.6</v>
      </c>
      <c r="X104" s="1">
        <v>125.6</v>
      </c>
      <c r="Y104" s="1">
        <v>122.6</v>
      </c>
      <c r="Z104" s="1">
        <v>114</v>
      </c>
      <c r="AA104" s="1">
        <v>120.9</v>
      </c>
      <c r="AB104" s="1">
        <v>125.8</v>
      </c>
      <c r="AC104" s="1">
        <v>114.2</v>
      </c>
      <c r="AD104" s="1">
        <v>119.6</v>
      </c>
      <c r="AE104" s="1">
        <v>128.30000000000001</v>
      </c>
      <c r="AF104" s="6">
        <f t="shared" si="4"/>
        <v>129.71538461538461</v>
      </c>
      <c r="AG104" s="6">
        <f t="shared" si="5"/>
        <v>124.23333333333333</v>
      </c>
      <c r="AH104" s="6">
        <f t="shared" si="6"/>
        <v>130.6</v>
      </c>
      <c r="AI104" s="6">
        <f t="shared" si="7"/>
        <v>122.75</v>
      </c>
      <c r="AJ104" s="6">
        <f>IFERROR(AVERAGE(Main[[#This Row],[Health]],Main[[#This Row],[Personal care and effects]]),"NA")</f>
        <v>118.4</v>
      </c>
    </row>
    <row r="105" spans="1:36" ht="13.2" x14ac:dyDescent="0.25">
      <c r="A105" s="1" t="s">
        <v>39</v>
      </c>
      <c r="B105" s="1">
        <v>2015</v>
      </c>
      <c r="C105" s="1" t="s">
        <v>50</v>
      </c>
      <c r="D105" s="8">
        <f>DATEVALUE(Main[[#This Row],[Month]]&amp;Main[[#This Row],[Year]])</f>
        <v>42309</v>
      </c>
      <c r="E105" s="1">
        <v>124</v>
      </c>
      <c r="F105" s="1">
        <v>129.80000000000001</v>
      </c>
      <c r="G105" s="1">
        <v>121.5</v>
      </c>
      <c r="H105" s="1">
        <v>128.6</v>
      </c>
      <c r="I105" s="1">
        <v>110</v>
      </c>
      <c r="J105" s="1">
        <v>123.7</v>
      </c>
      <c r="K105" s="1">
        <v>164.6</v>
      </c>
      <c r="L105" s="1">
        <v>191.6</v>
      </c>
      <c r="M105" s="1">
        <v>90.8</v>
      </c>
      <c r="N105" s="1">
        <v>137.1</v>
      </c>
      <c r="O105" s="1">
        <v>119.8</v>
      </c>
      <c r="P105" s="1">
        <v>133.69999999999999</v>
      </c>
      <c r="Q105" s="1">
        <v>133.30000000000001</v>
      </c>
      <c r="R105" s="1">
        <v>137.6</v>
      </c>
      <c r="S105" s="1">
        <v>125</v>
      </c>
      <c r="T105" s="1">
        <v>119.3</v>
      </c>
      <c r="U105" s="1">
        <v>124.2</v>
      </c>
      <c r="V105" s="1">
        <v>122.9</v>
      </c>
      <c r="W105" s="1">
        <v>115.1</v>
      </c>
      <c r="X105" s="1">
        <v>121</v>
      </c>
      <c r="Y105" s="1">
        <v>118.1</v>
      </c>
      <c r="Z105" s="1">
        <v>109.3</v>
      </c>
      <c r="AA105" s="1">
        <v>117.9</v>
      </c>
      <c r="AB105" s="1">
        <v>126.6</v>
      </c>
      <c r="AC105" s="1">
        <v>113.3</v>
      </c>
      <c r="AD105" s="1">
        <v>116.6</v>
      </c>
      <c r="AE105" s="1">
        <v>124.6</v>
      </c>
      <c r="AF105" s="6">
        <f t="shared" si="4"/>
        <v>131.42307692307691</v>
      </c>
      <c r="AG105" s="6">
        <f t="shared" si="5"/>
        <v>124.03333333333335</v>
      </c>
      <c r="AH105" s="6">
        <f t="shared" si="6"/>
        <v>122.83333333333333</v>
      </c>
      <c r="AI105" s="6">
        <f t="shared" si="7"/>
        <v>118.97999999999999</v>
      </c>
      <c r="AJ105" s="6">
        <f>IFERROR(AVERAGE(Main[[#This Row],[Health]],Main[[#This Row],[Personal care and effects]]),"NA")</f>
        <v>115.69999999999999</v>
      </c>
    </row>
    <row r="106" spans="1:36" ht="13.2" x14ac:dyDescent="0.25">
      <c r="A106" s="1" t="s">
        <v>40</v>
      </c>
      <c r="B106" s="1">
        <v>2015</v>
      </c>
      <c r="C106" s="1" t="s">
        <v>50</v>
      </c>
      <c r="D106" s="8">
        <f>DATEVALUE(Main[[#This Row],[Month]]&amp;Main[[#This Row],[Year]])</f>
        <v>42309</v>
      </c>
      <c r="E106" s="1">
        <v>125.4</v>
      </c>
      <c r="F106" s="1">
        <v>130.30000000000001</v>
      </c>
      <c r="G106" s="1">
        <v>121.6</v>
      </c>
      <c r="H106" s="1">
        <v>129.19999999999999</v>
      </c>
      <c r="I106" s="1">
        <v>114.9</v>
      </c>
      <c r="J106" s="1">
        <v>128.19999999999999</v>
      </c>
      <c r="K106" s="1">
        <v>158.4</v>
      </c>
      <c r="L106" s="1">
        <v>171.2</v>
      </c>
      <c r="M106" s="1">
        <v>93.3</v>
      </c>
      <c r="N106" s="1">
        <v>131.19999999999999</v>
      </c>
      <c r="O106" s="1">
        <v>121.7</v>
      </c>
      <c r="P106" s="1">
        <v>134</v>
      </c>
      <c r="Q106" s="1">
        <v>132.69999999999999</v>
      </c>
      <c r="R106" s="1">
        <v>133.6</v>
      </c>
      <c r="S106" s="1">
        <v>129.30000000000001</v>
      </c>
      <c r="T106" s="1">
        <v>124.5</v>
      </c>
      <c r="U106" s="1">
        <v>128.6</v>
      </c>
      <c r="V106" s="1">
        <v>122.9</v>
      </c>
      <c r="W106" s="1">
        <v>121.6</v>
      </c>
      <c r="X106" s="1">
        <v>123.4</v>
      </c>
      <c r="Y106" s="1">
        <v>120.9</v>
      </c>
      <c r="Z106" s="1">
        <v>111.5</v>
      </c>
      <c r="AA106" s="1">
        <v>119.2</v>
      </c>
      <c r="AB106" s="1">
        <v>126.3</v>
      </c>
      <c r="AC106" s="1">
        <v>113.8</v>
      </c>
      <c r="AD106" s="1">
        <v>118.1</v>
      </c>
      <c r="AE106" s="1">
        <v>126.6</v>
      </c>
      <c r="AF106" s="6">
        <f t="shared" si="4"/>
        <v>130.16153846153844</v>
      </c>
      <c r="AG106" s="6">
        <f t="shared" si="5"/>
        <v>123.63333333333333</v>
      </c>
      <c r="AH106" s="6">
        <f t="shared" si="6"/>
        <v>127.46666666666665</v>
      </c>
      <c r="AI106" s="6">
        <f t="shared" si="7"/>
        <v>121.13999999999999</v>
      </c>
      <c r="AJ106" s="6">
        <f>IFERROR(AVERAGE(Main[[#This Row],[Health]],Main[[#This Row],[Personal care and effects]]),"NA")</f>
        <v>117.35</v>
      </c>
    </row>
    <row r="107" spans="1:36" ht="13.2" x14ac:dyDescent="0.25">
      <c r="A107" s="1" t="s">
        <v>36</v>
      </c>
      <c r="B107" s="1">
        <v>2015</v>
      </c>
      <c r="C107" s="1" t="s">
        <v>51</v>
      </c>
      <c r="D107" s="8">
        <f>DATEVALUE(Main[[#This Row],[Month]]&amp;Main[[#This Row],[Year]])</f>
        <v>42339</v>
      </c>
      <c r="E107" s="1">
        <v>126.3</v>
      </c>
      <c r="F107" s="1">
        <v>131.30000000000001</v>
      </c>
      <c r="G107" s="1">
        <v>123.3</v>
      </c>
      <c r="H107" s="1">
        <v>129.80000000000001</v>
      </c>
      <c r="I107" s="1">
        <v>118.3</v>
      </c>
      <c r="J107" s="1">
        <v>131.6</v>
      </c>
      <c r="K107" s="1">
        <v>145.5</v>
      </c>
      <c r="L107" s="1">
        <v>162.1</v>
      </c>
      <c r="M107" s="1">
        <v>95.4</v>
      </c>
      <c r="N107" s="1">
        <v>128.9</v>
      </c>
      <c r="O107" s="1">
        <v>123.3</v>
      </c>
      <c r="P107" s="1">
        <v>135.1</v>
      </c>
      <c r="Q107" s="1">
        <v>131.4</v>
      </c>
      <c r="R107" s="1">
        <v>133.1</v>
      </c>
      <c r="S107" s="1">
        <v>132.5</v>
      </c>
      <c r="T107" s="1">
        <v>128.5</v>
      </c>
      <c r="U107" s="1">
        <v>131.9</v>
      </c>
      <c r="V107" s="1" t="s">
        <v>38</v>
      </c>
      <c r="W107" s="1">
        <v>125.7</v>
      </c>
      <c r="X107" s="1">
        <v>126</v>
      </c>
      <c r="Y107" s="1">
        <v>123.1</v>
      </c>
      <c r="Z107" s="1">
        <v>114</v>
      </c>
      <c r="AA107" s="1">
        <v>121.6</v>
      </c>
      <c r="AB107" s="1">
        <v>125.6</v>
      </c>
      <c r="AC107" s="1">
        <v>114.1</v>
      </c>
      <c r="AD107" s="1">
        <v>119.8</v>
      </c>
      <c r="AE107" s="1">
        <v>127.9</v>
      </c>
      <c r="AF107" s="6">
        <f t="shared" si="4"/>
        <v>129.40769230769232</v>
      </c>
      <c r="AG107" s="6">
        <f t="shared" si="5"/>
        <v>124.83333333333333</v>
      </c>
      <c r="AH107" s="6">
        <f t="shared" si="6"/>
        <v>130.96666666666667</v>
      </c>
      <c r="AI107" s="6">
        <f t="shared" si="7"/>
        <v>122.82499999999999</v>
      </c>
      <c r="AJ107" s="6">
        <f>IFERROR(AVERAGE(Main[[#This Row],[Health]],Main[[#This Row],[Personal care and effects]]),"NA")</f>
        <v>118.6</v>
      </c>
    </row>
    <row r="108" spans="1:36" ht="13.2" x14ac:dyDescent="0.25">
      <c r="A108" s="1" t="s">
        <v>39</v>
      </c>
      <c r="B108" s="1">
        <v>2015</v>
      </c>
      <c r="C108" s="1" t="s">
        <v>51</v>
      </c>
      <c r="D108" s="8">
        <f>DATEVALUE(Main[[#This Row],[Month]]&amp;Main[[#This Row],[Year]])</f>
        <v>42339</v>
      </c>
      <c r="E108" s="1">
        <v>124.3</v>
      </c>
      <c r="F108" s="1">
        <v>131.69999999999999</v>
      </c>
      <c r="G108" s="1">
        <v>127.1</v>
      </c>
      <c r="H108" s="1">
        <v>128.6</v>
      </c>
      <c r="I108" s="1">
        <v>110</v>
      </c>
      <c r="J108" s="1">
        <v>120.8</v>
      </c>
      <c r="K108" s="1">
        <v>149</v>
      </c>
      <c r="L108" s="1">
        <v>190.1</v>
      </c>
      <c r="M108" s="1">
        <v>92.7</v>
      </c>
      <c r="N108" s="1">
        <v>138.6</v>
      </c>
      <c r="O108" s="1">
        <v>120.2</v>
      </c>
      <c r="P108" s="1">
        <v>134.19999999999999</v>
      </c>
      <c r="Q108" s="1">
        <v>131.5</v>
      </c>
      <c r="R108" s="1">
        <v>138.19999999999999</v>
      </c>
      <c r="S108" s="1">
        <v>125.4</v>
      </c>
      <c r="T108" s="1">
        <v>119.5</v>
      </c>
      <c r="U108" s="1">
        <v>124.5</v>
      </c>
      <c r="V108" s="1">
        <v>122.4</v>
      </c>
      <c r="W108" s="1">
        <v>116</v>
      </c>
      <c r="X108" s="1">
        <v>121</v>
      </c>
      <c r="Y108" s="1">
        <v>118.6</v>
      </c>
      <c r="Z108" s="1">
        <v>109.3</v>
      </c>
      <c r="AA108" s="1">
        <v>118.1</v>
      </c>
      <c r="AB108" s="1">
        <v>126.6</v>
      </c>
      <c r="AC108" s="1">
        <v>113.2</v>
      </c>
      <c r="AD108" s="1">
        <v>116.7</v>
      </c>
      <c r="AE108" s="1">
        <v>124</v>
      </c>
      <c r="AF108" s="6">
        <f t="shared" si="4"/>
        <v>130.67692307692306</v>
      </c>
      <c r="AG108" s="6">
        <f t="shared" si="5"/>
        <v>124.33333333333331</v>
      </c>
      <c r="AH108" s="6">
        <f t="shared" si="6"/>
        <v>123.13333333333333</v>
      </c>
      <c r="AI108" s="6">
        <f t="shared" si="7"/>
        <v>119.05999999999999</v>
      </c>
      <c r="AJ108" s="6">
        <f>IFERROR(AVERAGE(Main[[#This Row],[Health]],Main[[#This Row],[Personal care and effects]]),"NA")</f>
        <v>115.9</v>
      </c>
    </row>
    <row r="109" spans="1:36" ht="13.2" x14ac:dyDescent="0.25">
      <c r="A109" s="1" t="s">
        <v>40</v>
      </c>
      <c r="B109" s="1">
        <v>2015</v>
      </c>
      <c r="C109" s="1" t="s">
        <v>51</v>
      </c>
      <c r="D109" s="8">
        <f>DATEVALUE(Main[[#This Row],[Month]]&amp;Main[[#This Row],[Year]])</f>
        <v>42339</v>
      </c>
      <c r="E109" s="1">
        <v>125.7</v>
      </c>
      <c r="F109" s="1">
        <v>131.4</v>
      </c>
      <c r="G109" s="1">
        <v>124.8</v>
      </c>
      <c r="H109" s="1">
        <v>129.4</v>
      </c>
      <c r="I109" s="1">
        <v>115.3</v>
      </c>
      <c r="J109" s="1">
        <v>126.6</v>
      </c>
      <c r="K109" s="1">
        <v>146.69999999999999</v>
      </c>
      <c r="L109" s="1">
        <v>171.5</v>
      </c>
      <c r="M109" s="1">
        <v>94.5</v>
      </c>
      <c r="N109" s="1">
        <v>132.1</v>
      </c>
      <c r="O109" s="1">
        <v>122</v>
      </c>
      <c r="P109" s="1">
        <v>134.69999999999999</v>
      </c>
      <c r="Q109" s="1">
        <v>131.4</v>
      </c>
      <c r="R109" s="1">
        <v>134.5</v>
      </c>
      <c r="S109" s="1">
        <v>129.69999999999999</v>
      </c>
      <c r="T109" s="1">
        <v>124.8</v>
      </c>
      <c r="U109" s="1">
        <v>129</v>
      </c>
      <c r="V109" s="1">
        <v>122.4</v>
      </c>
      <c r="W109" s="1">
        <v>122</v>
      </c>
      <c r="X109" s="1">
        <v>123.6</v>
      </c>
      <c r="Y109" s="1">
        <v>121.4</v>
      </c>
      <c r="Z109" s="1">
        <v>111.5</v>
      </c>
      <c r="AA109" s="1">
        <v>119.6</v>
      </c>
      <c r="AB109" s="1">
        <v>126.2</v>
      </c>
      <c r="AC109" s="1">
        <v>113.7</v>
      </c>
      <c r="AD109" s="1">
        <v>118.3</v>
      </c>
      <c r="AE109" s="1">
        <v>126.1</v>
      </c>
      <c r="AF109" s="6">
        <f t="shared" si="4"/>
        <v>129.70000000000002</v>
      </c>
      <c r="AG109" s="6">
        <f t="shared" si="5"/>
        <v>124.13333333333333</v>
      </c>
      <c r="AH109" s="6">
        <f t="shared" si="6"/>
        <v>127.83333333333333</v>
      </c>
      <c r="AI109" s="6">
        <f t="shared" si="7"/>
        <v>121.14000000000001</v>
      </c>
      <c r="AJ109" s="6">
        <f>IFERROR(AVERAGE(Main[[#This Row],[Health]],Main[[#This Row],[Personal care and effects]]),"NA")</f>
        <v>117.55000000000001</v>
      </c>
    </row>
    <row r="110" spans="1:36" ht="13.2" x14ac:dyDescent="0.25">
      <c r="A110" s="1" t="s">
        <v>36</v>
      </c>
      <c r="B110" s="1">
        <v>2016</v>
      </c>
      <c r="C110" s="1" t="s">
        <v>37</v>
      </c>
      <c r="D110" s="8">
        <f>DATEVALUE(Main[[#This Row],[Month]]&amp;Main[[#This Row],[Year]])</f>
        <v>42370</v>
      </c>
      <c r="E110" s="1">
        <v>126.8</v>
      </c>
      <c r="F110" s="1">
        <v>133.19999999999999</v>
      </c>
      <c r="G110" s="1">
        <v>126.5</v>
      </c>
      <c r="H110" s="1">
        <v>130.30000000000001</v>
      </c>
      <c r="I110" s="1">
        <v>118.9</v>
      </c>
      <c r="J110" s="1">
        <v>131.6</v>
      </c>
      <c r="K110" s="1">
        <v>140.1</v>
      </c>
      <c r="L110" s="1">
        <v>163.80000000000001</v>
      </c>
      <c r="M110" s="1">
        <v>97.7</v>
      </c>
      <c r="N110" s="1">
        <v>129.6</v>
      </c>
      <c r="O110" s="1">
        <v>124.3</v>
      </c>
      <c r="P110" s="1">
        <v>135.9</v>
      </c>
      <c r="Q110" s="1">
        <v>131.4</v>
      </c>
      <c r="R110" s="1">
        <v>133.6</v>
      </c>
      <c r="S110" s="1">
        <v>133.19999999999999</v>
      </c>
      <c r="T110" s="1">
        <v>128.9</v>
      </c>
      <c r="U110" s="1">
        <v>132.6</v>
      </c>
      <c r="V110" s="1" t="s">
        <v>38</v>
      </c>
      <c r="W110" s="1">
        <v>126.2</v>
      </c>
      <c r="X110" s="1">
        <v>126.6</v>
      </c>
      <c r="Y110" s="1">
        <v>123.7</v>
      </c>
      <c r="Z110" s="1">
        <v>113.6</v>
      </c>
      <c r="AA110" s="1">
        <v>121.4</v>
      </c>
      <c r="AB110" s="1">
        <v>126.2</v>
      </c>
      <c r="AC110" s="1">
        <v>114.9</v>
      </c>
      <c r="AD110" s="1">
        <v>120.1</v>
      </c>
      <c r="AE110" s="1">
        <v>128.1</v>
      </c>
      <c r="AF110" s="6">
        <f t="shared" si="4"/>
        <v>130.00769230769231</v>
      </c>
      <c r="AG110" s="6">
        <f t="shared" si="5"/>
        <v>125.03333333333335</v>
      </c>
      <c r="AH110" s="6">
        <f t="shared" si="6"/>
        <v>131.56666666666669</v>
      </c>
      <c r="AI110" s="6">
        <f t="shared" si="7"/>
        <v>123.14999999999999</v>
      </c>
      <c r="AJ110" s="6">
        <f>IFERROR(AVERAGE(Main[[#This Row],[Health]],Main[[#This Row],[Personal care and effects]]),"NA")</f>
        <v>119.30000000000001</v>
      </c>
    </row>
    <row r="111" spans="1:36" ht="13.2" x14ac:dyDescent="0.25">
      <c r="A111" s="1" t="s">
        <v>39</v>
      </c>
      <c r="B111" s="1">
        <v>2016</v>
      </c>
      <c r="C111" s="1" t="s">
        <v>37</v>
      </c>
      <c r="D111" s="8">
        <f>DATEVALUE(Main[[#This Row],[Month]]&amp;Main[[#This Row],[Year]])</f>
        <v>42370</v>
      </c>
      <c r="E111" s="1">
        <v>124.7</v>
      </c>
      <c r="F111" s="1">
        <v>135.9</v>
      </c>
      <c r="G111" s="1">
        <v>132</v>
      </c>
      <c r="H111" s="1">
        <v>129.19999999999999</v>
      </c>
      <c r="I111" s="1">
        <v>109.7</v>
      </c>
      <c r="J111" s="1">
        <v>119</v>
      </c>
      <c r="K111" s="1">
        <v>144.1</v>
      </c>
      <c r="L111" s="1">
        <v>184.2</v>
      </c>
      <c r="M111" s="1">
        <v>96.7</v>
      </c>
      <c r="N111" s="1">
        <v>139.5</v>
      </c>
      <c r="O111" s="1">
        <v>120.5</v>
      </c>
      <c r="P111" s="1">
        <v>134.69999999999999</v>
      </c>
      <c r="Q111" s="1">
        <v>131.19999999999999</v>
      </c>
      <c r="R111" s="1">
        <v>139.5</v>
      </c>
      <c r="S111" s="1">
        <v>125.8</v>
      </c>
      <c r="T111" s="1">
        <v>119.8</v>
      </c>
      <c r="U111" s="1">
        <v>124.9</v>
      </c>
      <c r="V111" s="1">
        <v>123.4</v>
      </c>
      <c r="W111" s="1">
        <v>116.9</v>
      </c>
      <c r="X111" s="1">
        <v>121.6</v>
      </c>
      <c r="Y111" s="1">
        <v>119.1</v>
      </c>
      <c r="Z111" s="1">
        <v>108.9</v>
      </c>
      <c r="AA111" s="1">
        <v>118.5</v>
      </c>
      <c r="AB111" s="1">
        <v>126.4</v>
      </c>
      <c r="AC111" s="1">
        <v>114</v>
      </c>
      <c r="AD111" s="1">
        <v>116.8</v>
      </c>
      <c r="AE111" s="1">
        <v>124.2</v>
      </c>
      <c r="AF111" s="6">
        <f t="shared" si="4"/>
        <v>130.87692307692308</v>
      </c>
      <c r="AG111" s="6">
        <f t="shared" si="5"/>
        <v>124.93333333333334</v>
      </c>
      <c r="AH111" s="6">
        <f t="shared" si="6"/>
        <v>123.5</v>
      </c>
      <c r="AI111" s="6">
        <f t="shared" si="7"/>
        <v>119.43999999999998</v>
      </c>
      <c r="AJ111" s="6">
        <f>IFERROR(AVERAGE(Main[[#This Row],[Health]],Main[[#This Row],[Personal care and effects]]),"NA")</f>
        <v>116.55</v>
      </c>
    </row>
    <row r="112" spans="1:36" ht="13.2" x14ac:dyDescent="0.25">
      <c r="A112" s="1" t="s">
        <v>40</v>
      </c>
      <c r="B112" s="1">
        <v>2016</v>
      </c>
      <c r="C112" s="1" t="s">
        <v>37</v>
      </c>
      <c r="D112" s="8">
        <f>DATEVALUE(Main[[#This Row],[Month]]&amp;Main[[#This Row],[Year]])</f>
        <v>42370</v>
      </c>
      <c r="E112" s="1">
        <v>126.1</v>
      </c>
      <c r="F112" s="1">
        <v>134.1</v>
      </c>
      <c r="G112" s="1">
        <v>128.6</v>
      </c>
      <c r="H112" s="1">
        <v>129.9</v>
      </c>
      <c r="I112" s="1">
        <v>115.5</v>
      </c>
      <c r="J112" s="1">
        <v>125.7</v>
      </c>
      <c r="K112" s="1">
        <v>141.5</v>
      </c>
      <c r="L112" s="1">
        <v>170.7</v>
      </c>
      <c r="M112" s="1">
        <v>97.4</v>
      </c>
      <c r="N112" s="1">
        <v>132.9</v>
      </c>
      <c r="O112" s="1">
        <v>122.7</v>
      </c>
      <c r="P112" s="1">
        <v>135.30000000000001</v>
      </c>
      <c r="Q112" s="1">
        <v>131.30000000000001</v>
      </c>
      <c r="R112" s="1">
        <v>135.19999999999999</v>
      </c>
      <c r="S112" s="1">
        <v>130.30000000000001</v>
      </c>
      <c r="T112" s="1">
        <v>125.1</v>
      </c>
      <c r="U112" s="1">
        <v>129.5</v>
      </c>
      <c r="V112" s="1">
        <v>123.4</v>
      </c>
      <c r="W112" s="1">
        <v>122.7</v>
      </c>
      <c r="X112" s="1">
        <v>124.2</v>
      </c>
      <c r="Y112" s="1">
        <v>122</v>
      </c>
      <c r="Z112" s="1">
        <v>111.1</v>
      </c>
      <c r="AA112" s="1">
        <v>119.8</v>
      </c>
      <c r="AB112" s="1">
        <v>126.3</v>
      </c>
      <c r="AC112" s="1">
        <v>114.5</v>
      </c>
      <c r="AD112" s="1">
        <v>118.5</v>
      </c>
      <c r="AE112" s="1">
        <v>126.3</v>
      </c>
      <c r="AF112" s="6">
        <f t="shared" si="4"/>
        <v>130.13076923076923</v>
      </c>
      <c r="AG112" s="6">
        <f t="shared" si="5"/>
        <v>124.5</v>
      </c>
      <c r="AH112" s="6">
        <f t="shared" si="6"/>
        <v>128.29999999999998</v>
      </c>
      <c r="AI112" s="6">
        <f t="shared" si="7"/>
        <v>121.53999999999999</v>
      </c>
      <c r="AJ112" s="6">
        <f>IFERROR(AVERAGE(Main[[#This Row],[Health]],Main[[#This Row],[Personal care and effects]]),"NA")</f>
        <v>118.25</v>
      </c>
    </row>
    <row r="113" spans="1:36" ht="13.2" x14ac:dyDescent="0.25">
      <c r="A113" s="1" t="s">
        <v>36</v>
      </c>
      <c r="B113" s="1">
        <v>2016</v>
      </c>
      <c r="C113" s="1" t="s">
        <v>41</v>
      </c>
      <c r="D113" s="8">
        <f>DATEVALUE(Main[[#This Row],[Month]]&amp;Main[[#This Row],[Year]])</f>
        <v>42401</v>
      </c>
      <c r="E113" s="1">
        <v>127.1</v>
      </c>
      <c r="F113" s="1">
        <v>133.69999999999999</v>
      </c>
      <c r="G113" s="1">
        <v>127.7</v>
      </c>
      <c r="H113" s="1">
        <v>130.69999999999999</v>
      </c>
      <c r="I113" s="1">
        <v>118.5</v>
      </c>
      <c r="J113" s="1">
        <v>130.4</v>
      </c>
      <c r="K113" s="1">
        <v>130.9</v>
      </c>
      <c r="L113" s="1">
        <v>162.80000000000001</v>
      </c>
      <c r="M113" s="1">
        <v>98.7</v>
      </c>
      <c r="N113" s="1">
        <v>130.6</v>
      </c>
      <c r="O113" s="1">
        <v>124.8</v>
      </c>
      <c r="P113" s="1">
        <v>136.4</v>
      </c>
      <c r="Q113" s="1">
        <v>130.30000000000001</v>
      </c>
      <c r="R113" s="1">
        <v>134.4</v>
      </c>
      <c r="S113" s="1">
        <v>133.9</v>
      </c>
      <c r="T113" s="1">
        <v>129.80000000000001</v>
      </c>
      <c r="U113" s="1">
        <v>133.4</v>
      </c>
      <c r="V113" s="1" t="s">
        <v>38</v>
      </c>
      <c r="W113" s="1">
        <v>127.5</v>
      </c>
      <c r="X113" s="1">
        <v>127.1</v>
      </c>
      <c r="Y113" s="1">
        <v>124.3</v>
      </c>
      <c r="Z113" s="1">
        <v>113.9</v>
      </c>
      <c r="AA113" s="1">
        <v>122.3</v>
      </c>
      <c r="AB113" s="1">
        <v>127.1</v>
      </c>
      <c r="AC113" s="1">
        <v>116.8</v>
      </c>
      <c r="AD113" s="1">
        <v>120.9</v>
      </c>
      <c r="AE113" s="1">
        <v>127.9</v>
      </c>
      <c r="AF113" s="6">
        <f t="shared" si="4"/>
        <v>129.43076923076922</v>
      </c>
      <c r="AG113" s="6">
        <f t="shared" si="5"/>
        <v>125.86666666666667</v>
      </c>
      <c r="AH113" s="6">
        <f t="shared" si="6"/>
        <v>132.36666666666667</v>
      </c>
      <c r="AI113" s="6">
        <f t="shared" si="7"/>
        <v>123.9</v>
      </c>
      <c r="AJ113" s="6">
        <f>IFERROR(AVERAGE(Main[[#This Row],[Health]],Main[[#This Row],[Personal care and effects]]),"NA")</f>
        <v>120.55</v>
      </c>
    </row>
    <row r="114" spans="1:36" ht="13.2" x14ac:dyDescent="0.25">
      <c r="A114" s="1" t="s">
        <v>39</v>
      </c>
      <c r="B114" s="1">
        <v>2016</v>
      </c>
      <c r="C114" s="1" t="s">
        <v>41</v>
      </c>
      <c r="D114" s="8">
        <f>DATEVALUE(Main[[#This Row],[Month]]&amp;Main[[#This Row],[Year]])</f>
        <v>42401</v>
      </c>
      <c r="E114" s="1">
        <v>124.8</v>
      </c>
      <c r="F114" s="1">
        <v>135.1</v>
      </c>
      <c r="G114" s="1">
        <v>130.30000000000001</v>
      </c>
      <c r="H114" s="1">
        <v>129.6</v>
      </c>
      <c r="I114" s="1">
        <v>108.4</v>
      </c>
      <c r="J114" s="1">
        <v>118.6</v>
      </c>
      <c r="K114" s="1">
        <v>129.19999999999999</v>
      </c>
      <c r="L114" s="1">
        <v>176.4</v>
      </c>
      <c r="M114" s="1">
        <v>99.1</v>
      </c>
      <c r="N114" s="1">
        <v>139.69999999999999</v>
      </c>
      <c r="O114" s="1">
        <v>120.6</v>
      </c>
      <c r="P114" s="1">
        <v>135.19999999999999</v>
      </c>
      <c r="Q114" s="1">
        <v>129.1</v>
      </c>
      <c r="R114" s="1">
        <v>140</v>
      </c>
      <c r="S114" s="1">
        <v>126.2</v>
      </c>
      <c r="T114" s="1">
        <v>120.1</v>
      </c>
      <c r="U114" s="1">
        <v>125.3</v>
      </c>
      <c r="V114" s="1">
        <v>124.4</v>
      </c>
      <c r="W114" s="1">
        <v>116</v>
      </c>
      <c r="X114" s="1">
        <v>121.8</v>
      </c>
      <c r="Y114" s="1">
        <v>119.5</v>
      </c>
      <c r="Z114" s="1">
        <v>109.1</v>
      </c>
      <c r="AA114" s="1">
        <v>118.8</v>
      </c>
      <c r="AB114" s="1">
        <v>126.3</v>
      </c>
      <c r="AC114" s="1">
        <v>116.2</v>
      </c>
      <c r="AD114" s="1">
        <v>117.2</v>
      </c>
      <c r="AE114" s="1">
        <v>123.8</v>
      </c>
      <c r="AF114" s="6">
        <f t="shared" si="4"/>
        <v>128.93076923076922</v>
      </c>
      <c r="AG114" s="6">
        <f t="shared" si="5"/>
        <v>125.33333333333333</v>
      </c>
      <c r="AH114" s="6">
        <f t="shared" si="6"/>
        <v>123.86666666666667</v>
      </c>
      <c r="AI114" s="6">
        <f t="shared" si="7"/>
        <v>119.51999999999998</v>
      </c>
      <c r="AJ114" s="6">
        <f>IFERROR(AVERAGE(Main[[#This Row],[Health]],Main[[#This Row],[Personal care and effects]]),"NA")</f>
        <v>117.85</v>
      </c>
    </row>
    <row r="115" spans="1:36" ht="13.2" x14ac:dyDescent="0.25">
      <c r="A115" s="1" t="s">
        <v>40</v>
      </c>
      <c r="B115" s="1">
        <v>2016</v>
      </c>
      <c r="C115" s="1" t="s">
        <v>41</v>
      </c>
      <c r="D115" s="8">
        <f>DATEVALUE(Main[[#This Row],[Month]]&amp;Main[[#This Row],[Year]])</f>
        <v>42401</v>
      </c>
      <c r="E115" s="1">
        <v>126.4</v>
      </c>
      <c r="F115" s="1">
        <v>134.19999999999999</v>
      </c>
      <c r="G115" s="1">
        <v>128.69999999999999</v>
      </c>
      <c r="H115" s="1">
        <v>130.30000000000001</v>
      </c>
      <c r="I115" s="1">
        <v>114.8</v>
      </c>
      <c r="J115" s="1">
        <v>124.9</v>
      </c>
      <c r="K115" s="1">
        <v>130.30000000000001</v>
      </c>
      <c r="L115" s="1">
        <v>167.4</v>
      </c>
      <c r="M115" s="1">
        <v>98.8</v>
      </c>
      <c r="N115" s="1">
        <v>133.6</v>
      </c>
      <c r="O115" s="1">
        <v>123</v>
      </c>
      <c r="P115" s="1">
        <v>135.80000000000001</v>
      </c>
      <c r="Q115" s="1">
        <v>129.9</v>
      </c>
      <c r="R115" s="1">
        <v>135.9</v>
      </c>
      <c r="S115" s="1">
        <v>130.9</v>
      </c>
      <c r="T115" s="1">
        <v>125.8</v>
      </c>
      <c r="U115" s="1">
        <v>130.19999999999999</v>
      </c>
      <c r="V115" s="1">
        <v>124.4</v>
      </c>
      <c r="W115" s="1">
        <v>123.1</v>
      </c>
      <c r="X115" s="1">
        <v>124.6</v>
      </c>
      <c r="Y115" s="1">
        <v>122.5</v>
      </c>
      <c r="Z115" s="1">
        <v>111.4</v>
      </c>
      <c r="AA115" s="1">
        <v>120.3</v>
      </c>
      <c r="AB115" s="1">
        <v>126.6</v>
      </c>
      <c r="AC115" s="1">
        <v>116.6</v>
      </c>
      <c r="AD115" s="1">
        <v>119.1</v>
      </c>
      <c r="AE115" s="1">
        <v>126</v>
      </c>
      <c r="AF115" s="6">
        <f t="shared" si="4"/>
        <v>129.08461538461538</v>
      </c>
      <c r="AG115" s="6">
        <f t="shared" si="5"/>
        <v>125.09999999999998</v>
      </c>
      <c r="AH115" s="6">
        <f t="shared" si="6"/>
        <v>128.96666666666667</v>
      </c>
      <c r="AI115" s="6">
        <f t="shared" si="7"/>
        <v>122.02000000000001</v>
      </c>
      <c r="AJ115" s="6">
        <f>IFERROR(AVERAGE(Main[[#This Row],[Health]],Main[[#This Row],[Personal care and effects]]),"NA")</f>
        <v>119.55</v>
      </c>
    </row>
    <row r="116" spans="1:36" ht="13.2" x14ac:dyDescent="0.25">
      <c r="A116" s="1" t="s">
        <v>36</v>
      </c>
      <c r="B116" s="1">
        <v>2016</v>
      </c>
      <c r="C116" s="1" t="s">
        <v>42</v>
      </c>
      <c r="D116" s="8">
        <f>DATEVALUE(Main[[#This Row],[Month]]&amp;Main[[#This Row],[Year]])</f>
        <v>42430</v>
      </c>
      <c r="E116" s="1">
        <v>127.3</v>
      </c>
      <c r="F116" s="1">
        <v>134.4</v>
      </c>
      <c r="G116" s="1">
        <v>125.1</v>
      </c>
      <c r="H116" s="1">
        <v>130.5</v>
      </c>
      <c r="I116" s="1">
        <v>118.3</v>
      </c>
      <c r="J116" s="1">
        <v>131.69999999999999</v>
      </c>
      <c r="K116" s="1">
        <v>130.69999999999999</v>
      </c>
      <c r="L116" s="1">
        <v>161.19999999999999</v>
      </c>
      <c r="M116" s="1">
        <v>100.4</v>
      </c>
      <c r="N116" s="1">
        <v>130.80000000000001</v>
      </c>
      <c r="O116" s="1">
        <v>124.9</v>
      </c>
      <c r="P116" s="1">
        <v>137</v>
      </c>
      <c r="Q116" s="1">
        <v>130.4</v>
      </c>
      <c r="R116" s="1">
        <v>135</v>
      </c>
      <c r="S116" s="1">
        <v>134.4</v>
      </c>
      <c r="T116" s="1">
        <v>130.19999999999999</v>
      </c>
      <c r="U116" s="1">
        <v>133.80000000000001</v>
      </c>
      <c r="V116" s="1" t="s">
        <v>38</v>
      </c>
      <c r="W116" s="1">
        <v>127</v>
      </c>
      <c r="X116" s="1">
        <v>127.7</v>
      </c>
      <c r="Y116" s="1">
        <v>124.8</v>
      </c>
      <c r="Z116" s="1">
        <v>113.6</v>
      </c>
      <c r="AA116" s="1">
        <v>122.5</v>
      </c>
      <c r="AB116" s="1">
        <v>127.5</v>
      </c>
      <c r="AC116" s="1">
        <v>117.4</v>
      </c>
      <c r="AD116" s="1">
        <v>121.1</v>
      </c>
      <c r="AE116" s="1">
        <v>128</v>
      </c>
      <c r="AF116" s="6">
        <f t="shared" si="4"/>
        <v>129.43846153846155</v>
      </c>
      <c r="AG116" s="6">
        <f t="shared" si="5"/>
        <v>126.2</v>
      </c>
      <c r="AH116" s="6">
        <f t="shared" si="6"/>
        <v>132.80000000000001</v>
      </c>
      <c r="AI116" s="6">
        <f t="shared" si="7"/>
        <v>123.94999999999999</v>
      </c>
      <c r="AJ116" s="6">
        <f>IFERROR(AVERAGE(Main[[#This Row],[Health]],Main[[#This Row],[Personal care and effects]]),"NA")</f>
        <v>121.1</v>
      </c>
    </row>
    <row r="117" spans="1:36" ht="13.2" x14ac:dyDescent="0.25">
      <c r="A117" s="1" t="s">
        <v>39</v>
      </c>
      <c r="B117" s="1">
        <v>2016</v>
      </c>
      <c r="C117" s="1" t="s">
        <v>42</v>
      </c>
      <c r="D117" s="8">
        <f>DATEVALUE(Main[[#This Row],[Month]]&amp;Main[[#This Row],[Year]])</f>
        <v>42430</v>
      </c>
      <c r="E117" s="1">
        <v>124.8</v>
      </c>
      <c r="F117" s="1">
        <v>136.30000000000001</v>
      </c>
      <c r="G117" s="1">
        <v>123.7</v>
      </c>
      <c r="H117" s="1">
        <v>129.69999999999999</v>
      </c>
      <c r="I117" s="1">
        <v>107.9</v>
      </c>
      <c r="J117" s="1">
        <v>119.9</v>
      </c>
      <c r="K117" s="1">
        <v>128.1</v>
      </c>
      <c r="L117" s="1">
        <v>170.3</v>
      </c>
      <c r="M117" s="1">
        <v>101.8</v>
      </c>
      <c r="N117" s="1">
        <v>140.1</v>
      </c>
      <c r="O117" s="1">
        <v>120.7</v>
      </c>
      <c r="P117" s="1">
        <v>135.4</v>
      </c>
      <c r="Q117" s="1">
        <v>128.9</v>
      </c>
      <c r="R117" s="1">
        <v>140.6</v>
      </c>
      <c r="S117" s="1">
        <v>126.4</v>
      </c>
      <c r="T117" s="1">
        <v>120.3</v>
      </c>
      <c r="U117" s="1">
        <v>125.5</v>
      </c>
      <c r="V117" s="1">
        <v>124.9</v>
      </c>
      <c r="W117" s="1">
        <v>114.8</v>
      </c>
      <c r="X117" s="1">
        <v>122.3</v>
      </c>
      <c r="Y117" s="1">
        <v>119.7</v>
      </c>
      <c r="Z117" s="1">
        <v>108.5</v>
      </c>
      <c r="AA117" s="1">
        <v>119.1</v>
      </c>
      <c r="AB117" s="1">
        <v>126.4</v>
      </c>
      <c r="AC117" s="1">
        <v>117.1</v>
      </c>
      <c r="AD117" s="1">
        <v>117.3</v>
      </c>
      <c r="AE117" s="1">
        <v>123.8</v>
      </c>
      <c r="AF117" s="6">
        <f t="shared" si="4"/>
        <v>128.27692307692308</v>
      </c>
      <c r="AG117" s="6">
        <f t="shared" si="5"/>
        <v>125.66666666666667</v>
      </c>
      <c r="AH117" s="6">
        <f t="shared" si="6"/>
        <v>124.06666666666666</v>
      </c>
      <c r="AI117" s="6">
        <f t="shared" si="7"/>
        <v>119.38</v>
      </c>
      <c r="AJ117" s="6">
        <f>IFERROR(AVERAGE(Main[[#This Row],[Health]],Main[[#This Row],[Personal care and effects]]),"NA")</f>
        <v>118.4</v>
      </c>
    </row>
    <row r="118" spans="1:36" ht="13.2" x14ac:dyDescent="0.25">
      <c r="A118" s="1" t="s">
        <v>40</v>
      </c>
      <c r="B118" s="1">
        <v>2016</v>
      </c>
      <c r="C118" s="1" t="s">
        <v>42</v>
      </c>
      <c r="D118" s="8">
        <f>DATEVALUE(Main[[#This Row],[Month]]&amp;Main[[#This Row],[Year]])</f>
        <v>42430</v>
      </c>
      <c r="E118" s="1">
        <v>126.5</v>
      </c>
      <c r="F118" s="1">
        <v>135.1</v>
      </c>
      <c r="G118" s="1">
        <v>124.6</v>
      </c>
      <c r="H118" s="1">
        <v>130.19999999999999</v>
      </c>
      <c r="I118" s="1">
        <v>114.5</v>
      </c>
      <c r="J118" s="1">
        <v>126.2</v>
      </c>
      <c r="K118" s="1">
        <v>129.80000000000001</v>
      </c>
      <c r="L118" s="1">
        <v>164.3</v>
      </c>
      <c r="M118" s="1">
        <v>100.9</v>
      </c>
      <c r="N118" s="1">
        <v>133.9</v>
      </c>
      <c r="O118" s="1">
        <v>123.1</v>
      </c>
      <c r="P118" s="1">
        <v>136.30000000000001</v>
      </c>
      <c r="Q118" s="1">
        <v>129.80000000000001</v>
      </c>
      <c r="R118" s="1">
        <v>136.5</v>
      </c>
      <c r="S118" s="1">
        <v>131.30000000000001</v>
      </c>
      <c r="T118" s="1">
        <v>126.1</v>
      </c>
      <c r="U118" s="1">
        <v>130.5</v>
      </c>
      <c r="V118" s="1">
        <v>124.9</v>
      </c>
      <c r="W118" s="1">
        <v>122.4</v>
      </c>
      <c r="X118" s="1">
        <v>125.1</v>
      </c>
      <c r="Y118" s="1">
        <v>122.9</v>
      </c>
      <c r="Z118" s="1">
        <v>110.9</v>
      </c>
      <c r="AA118" s="1">
        <v>120.6</v>
      </c>
      <c r="AB118" s="1">
        <v>126.9</v>
      </c>
      <c r="AC118" s="1">
        <v>117.3</v>
      </c>
      <c r="AD118" s="1">
        <v>119.3</v>
      </c>
      <c r="AE118" s="1">
        <v>126</v>
      </c>
      <c r="AF118" s="6">
        <f t="shared" si="4"/>
        <v>128.86153846153846</v>
      </c>
      <c r="AG118" s="6">
        <f t="shared" si="5"/>
        <v>125.46666666666668</v>
      </c>
      <c r="AH118" s="6">
        <f t="shared" si="6"/>
        <v>129.29999999999998</v>
      </c>
      <c r="AI118" s="6">
        <f t="shared" si="7"/>
        <v>122.03999999999999</v>
      </c>
      <c r="AJ118" s="6">
        <f>IFERROR(AVERAGE(Main[[#This Row],[Health]],Main[[#This Row],[Personal care and effects]]),"NA")</f>
        <v>120.1</v>
      </c>
    </row>
    <row r="119" spans="1:36" ht="13.2" x14ac:dyDescent="0.25">
      <c r="A119" s="1" t="s">
        <v>36</v>
      </c>
      <c r="B119" s="1">
        <v>2016</v>
      </c>
      <c r="C119" s="1" t="s">
        <v>43</v>
      </c>
      <c r="D119" s="8">
        <f>DATEVALUE(Main[[#This Row],[Month]]&amp;Main[[#This Row],[Year]])</f>
        <v>42461</v>
      </c>
      <c r="E119" s="1">
        <v>127.4</v>
      </c>
      <c r="F119" s="1">
        <v>135.4</v>
      </c>
      <c r="G119" s="1">
        <v>123.4</v>
      </c>
      <c r="H119" s="1">
        <v>131.30000000000001</v>
      </c>
      <c r="I119" s="1">
        <v>118.2</v>
      </c>
      <c r="J119" s="1">
        <v>138.1</v>
      </c>
      <c r="K119" s="1">
        <v>134.1</v>
      </c>
      <c r="L119" s="1">
        <v>162.69999999999999</v>
      </c>
      <c r="M119" s="1">
        <v>105</v>
      </c>
      <c r="N119" s="1">
        <v>131.4</v>
      </c>
      <c r="O119" s="1">
        <v>125.4</v>
      </c>
      <c r="P119" s="1">
        <v>137.4</v>
      </c>
      <c r="Q119" s="1">
        <v>131.80000000000001</v>
      </c>
      <c r="R119" s="1">
        <v>135.5</v>
      </c>
      <c r="S119" s="1">
        <v>135</v>
      </c>
      <c r="T119" s="1">
        <v>130.6</v>
      </c>
      <c r="U119" s="1">
        <v>134.4</v>
      </c>
      <c r="V119" s="1" t="s">
        <v>38</v>
      </c>
      <c r="W119" s="1">
        <v>127</v>
      </c>
      <c r="X119" s="1">
        <v>128</v>
      </c>
      <c r="Y119" s="1">
        <v>125.2</v>
      </c>
      <c r="Z119" s="1">
        <v>114.4</v>
      </c>
      <c r="AA119" s="1">
        <v>123.2</v>
      </c>
      <c r="AB119" s="1">
        <v>127.9</v>
      </c>
      <c r="AC119" s="1">
        <v>118.4</v>
      </c>
      <c r="AD119" s="1">
        <v>121.7</v>
      </c>
      <c r="AE119" s="1">
        <v>129</v>
      </c>
      <c r="AF119" s="6">
        <f t="shared" si="4"/>
        <v>130.89230769230772</v>
      </c>
      <c r="AG119" s="6">
        <f t="shared" si="5"/>
        <v>126.8</v>
      </c>
      <c r="AH119" s="6">
        <f t="shared" si="6"/>
        <v>133.33333333333334</v>
      </c>
      <c r="AI119" s="6">
        <f t="shared" si="7"/>
        <v>124.32499999999999</v>
      </c>
      <c r="AJ119" s="6">
        <f>IFERROR(AVERAGE(Main[[#This Row],[Health]],Main[[#This Row],[Personal care and effects]]),"NA")</f>
        <v>121.80000000000001</v>
      </c>
    </row>
    <row r="120" spans="1:36" ht="13.2" x14ac:dyDescent="0.25">
      <c r="A120" s="1" t="s">
        <v>39</v>
      </c>
      <c r="B120" s="1">
        <v>2016</v>
      </c>
      <c r="C120" s="1" t="s">
        <v>43</v>
      </c>
      <c r="D120" s="8">
        <f>DATEVALUE(Main[[#This Row],[Month]]&amp;Main[[#This Row],[Year]])</f>
        <v>42461</v>
      </c>
      <c r="E120" s="1">
        <v>124.9</v>
      </c>
      <c r="F120" s="1">
        <v>139.30000000000001</v>
      </c>
      <c r="G120" s="1">
        <v>119.9</v>
      </c>
      <c r="H120" s="1">
        <v>130.19999999999999</v>
      </c>
      <c r="I120" s="1">
        <v>108.9</v>
      </c>
      <c r="J120" s="1">
        <v>131.1</v>
      </c>
      <c r="K120" s="1">
        <v>136.80000000000001</v>
      </c>
      <c r="L120" s="1">
        <v>176.9</v>
      </c>
      <c r="M120" s="1">
        <v>109.1</v>
      </c>
      <c r="N120" s="1">
        <v>140.4</v>
      </c>
      <c r="O120" s="1">
        <v>121.1</v>
      </c>
      <c r="P120" s="1">
        <v>135.9</v>
      </c>
      <c r="Q120" s="1">
        <v>131.80000000000001</v>
      </c>
      <c r="R120" s="1">
        <v>141.5</v>
      </c>
      <c r="S120" s="1">
        <v>126.8</v>
      </c>
      <c r="T120" s="1">
        <v>120.5</v>
      </c>
      <c r="U120" s="1">
        <v>125.8</v>
      </c>
      <c r="V120" s="1">
        <v>125.6</v>
      </c>
      <c r="W120" s="1">
        <v>114.6</v>
      </c>
      <c r="X120" s="1">
        <v>122.8</v>
      </c>
      <c r="Y120" s="1">
        <v>120</v>
      </c>
      <c r="Z120" s="1">
        <v>110</v>
      </c>
      <c r="AA120" s="1">
        <v>119.5</v>
      </c>
      <c r="AB120" s="1">
        <v>127.6</v>
      </c>
      <c r="AC120" s="1">
        <v>117.6</v>
      </c>
      <c r="AD120" s="1">
        <v>118.2</v>
      </c>
      <c r="AE120" s="1">
        <v>125.3</v>
      </c>
      <c r="AF120" s="6">
        <f t="shared" si="4"/>
        <v>131.25384615384615</v>
      </c>
      <c r="AG120" s="6">
        <f t="shared" si="5"/>
        <v>126.39999999999999</v>
      </c>
      <c r="AH120" s="6">
        <f t="shared" si="6"/>
        <v>124.36666666666667</v>
      </c>
      <c r="AI120" s="6">
        <f t="shared" si="7"/>
        <v>120.12</v>
      </c>
      <c r="AJ120" s="6">
        <f>IFERROR(AVERAGE(Main[[#This Row],[Health]],Main[[#This Row],[Personal care and effects]]),"NA")</f>
        <v>118.8</v>
      </c>
    </row>
    <row r="121" spans="1:36" ht="13.2" x14ac:dyDescent="0.25">
      <c r="A121" s="1" t="s">
        <v>40</v>
      </c>
      <c r="B121" s="1">
        <v>2016</v>
      </c>
      <c r="C121" s="1" t="s">
        <v>43</v>
      </c>
      <c r="D121" s="8">
        <f>DATEVALUE(Main[[#This Row],[Month]]&amp;Main[[#This Row],[Year]])</f>
        <v>42461</v>
      </c>
      <c r="E121" s="1">
        <v>126.6</v>
      </c>
      <c r="F121" s="1">
        <v>136.80000000000001</v>
      </c>
      <c r="G121" s="1">
        <v>122</v>
      </c>
      <c r="H121" s="1">
        <v>130.9</v>
      </c>
      <c r="I121" s="1">
        <v>114.8</v>
      </c>
      <c r="J121" s="1">
        <v>134.80000000000001</v>
      </c>
      <c r="K121" s="1">
        <v>135</v>
      </c>
      <c r="L121" s="1">
        <v>167.5</v>
      </c>
      <c r="M121" s="1">
        <v>106.4</v>
      </c>
      <c r="N121" s="1">
        <v>134.4</v>
      </c>
      <c r="O121" s="1">
        <v>123.6</v>
      </c>
      <c r="P121" s="1">
        <v>136.69999999999999</v>
      </c>
      <c r="Q121" s="1">
        <v>131.80000000000001</v>
      </c>
      <c r="R121" s="1">
        <v>137.1</v>
      </c>
      <c r="S121" s="1">
        <v>131.80000000000001</v>
      </c>
      <c r="T121" s="1">
        <v>126.4</v>
      </c>
      <c r="U121" s="1">
        <v>131</v>
      </c>
      <c r="V121" s="1">
        <v>125.6</v>
      </c>
      <c r="W121" s="1">
        <v>122.3</v>
      </c>
      <c r="X121" s="1">
        <v>125.5</v>
      </c>
      <c r="Y121" s="1">
        <v>123.2</v>
      </c>
      <c r="Z121" s="1">
        <v>112.1</v>
      </c>
      <c r="AA121" s="1">
        <v>121.1</v>
      </c>
      <c r="AB121" s="1">
        <v>127.7</v>
      </c>
      <c r="AC121" s="1">
        <v>118.1</v>
      </c>
      <c r="AD121" s="1">
        <v>120</v>
      </c>
      <c r="AE121" s="1">
        <v>127.3</v>
      </c>
      <c r="AF121" s="6">
        <f t="shared" si="4"/>
        <v>130.86923076923077</v>
      </c>
      <c r="AG121" s="6">
        <f t="shared" si="5"/>
        <v>126.06666666666666</v>
      </c>
      <c r="AH121" s="6">
        <f t="shared" si="6"/>
        <v>129.73333333333335</v>
      </c>
      <c r="AI121" s="6">
        <f t="shared" si="7"/>
        <v>122.64000000000001</v>
      </c>
      <c r="AJ121" s="6">
        <f>IFERROR(AVERAGE(Main[[#This Row],[Health]],Main[[#This Row],[Personal care and effects]]),"NA")</f>
        <v>120.65</v>
      </c>
    </row>
    <row r="122" spans="1:36" ht="13.2" x14ac:dyDescent="0.25">
      <c r="A122" s="1" t="s">
        <v>36</v>
      </c>
      <c r="B122" s="1">
        <v>2016</v>
      </c>
      <c r="C122" s="1" t="s">
        <v>44</v>
      </c>
      <c r="D122" s="8">
        <f>DATEVALUE(Main[[#This Row],[Month]]&amp;Main[[#This Row],[Year]])</f>
        <v>42491</v>
      </c>
      <c r="E122" s="1">
        <v>127.6</v>
      </c>
      <c r="F122" s="1">
        <v>137.5</v>
      </c>
      <c r="G122" s="1">
        <v>124.4</v>
      </c>
      <c r="H122" s="1">
        <v>132.4</v>
      </c>
      <c r="I122" s="1">
        <v>118.2</v>
      </c>
      <c r="J122" s="1">
        <v>138.1</v>
      </c>
      <c r="K122" s="1">
        <v>141.80000000000001</v>
      </c>
      <c r="L122" s="1">
        <v>166</v>
      </c>
      <c r="M122" s="1">
        <v>107.5</v>
      </c>
      <c r="N122" s="1">
        <v>132.19999999999999</v>
      </c>
      <c r="O122" s="1">
        <v>126.1</v>
      </c>
      <c r="P122" s="1">
        <v>138.30000000000001</v>
      </c>
      <c r="Q122" s="1">
        <v>133.6</v>
      </c>
      <c r="R122" s="1">
        <v>136</v>
      </c>
      <c r="S122" s="1">
        <v>135.4</v>
      </c>
      <c r="T122" s="1">
        <v>131.1</v>
      </c>
      <c r="U122" s="1">
        <v>134.80000000000001</v>
      </c>
      <c r="V122" s="1" t="s">
        <v>38</v>
      </c>
      <c r="W122" s="1">
        <v>127.4</v>
      </c>
      <c r="X122" s="1">
        <v>128.5</v>
      </c>
      <c r="Y122" s="1">
        <v>125.8</v>
      </c>
      <c r="Z122" s="1">
        <v>115.1</v>
      </c>
      <c r="AA122" s="1">
        <v>123.6</v>
      </c>
      <c r="AB122" s="1">
        <v>129.1</v>
      </c>
      <c r="AC122" s="1">
        <v>119.7</v>
      </c>
      <c r="AD122" s="1">
        <v>122.5</v>
      </c>
      <c r="AE122" s="1">
        <v>130.30000000000001</v>
      </c>
      <c r="AF122" s="6">
        <f t="shared" si="4"/>
        <v>132.59230769230768</v>
      </c>
      <c r="AG122" s="6">
        <f t="shared" si="5"/>
        <v>127.36666666666667</v>
      </c>
      <c r="AH122" s="6">
        <f t="shared" si="6"/>
        <v>133.76666666666668</v>
      </c>
      <c r="AI122" s="6">
        <f t="shared" si="7"/>
        <v>125.02500000000001</v>
      </c>
      <c r="AJ122" s="6">
        <f>IFERROR(AVERAGE(Main[[#This Row],[Health]],Main[[#This Row],[Personal care and effects]]),"NA")</f>
        <v>122.75</v>
      </c>
    </row>
    <row r="123" spans="1:36" ht="13.2" x14ac:dyDescent="0.25">
      <c r="A123" s="1" t="s">
        <v>39</v>
      </c>
      <c r="B123" s="1">
        <v>2016</v>
      </c>
      <c r="C123" s="1" t="s">
        <v>44</v>
      </c>
      <c r="D123" s="8">
        <f>DATEVALUE(Main[[#This Row],[Month]]&amp;Main[[#This Row],[Year]])</f>
        <v>42491</v>
      </c>
      <c r="E123" s="1">
        <v>125</v>
      </c>
      <c r="F123" s="1">
        <v>142.1</v>
      </c>
      <c r="G123" s="1">
        <v>127</v>
      </c>
      <c r="H123" s="1">
        <v>130.4</v>
      </c>
      <c r="I123" s="1">
        <v>109.6</v>
      </c>
      <c r="J123" s="1">
        <v>133.5</v>
      </c>
      <c r="K123" s="1">
        <v>151.4</v>
      </c>
      <c r="L123" s="1">
        <v>182.8</v>
      </c>
      <c r="M123" s="1">
        <v>111.1</v>
      </c>
      <c r="N123" s="1">
        <v>141.5</v>
      </c>
      <c r="O123" s="1">
        <v>121.5</v>
      </c>
      <c r="P123" s="1">
        <v>136.30000000000001</v>
      </c>
      <c r="Q123" s="1">
        <v>134.6</v>
      </c>
      <c r="R123" s="1">
        <v>142.19999999999999</v>
      </c>
      <c r="S123" s="1">
        <v>127.2</v>
      </c>
      <c r="T123" s="1">
        <v>120.7</v>
      </c>
      <c r="U123" s="1">
        <v>126.2</v>
      </c>
      <c r="V123" s="1">
        <v>126</v>
      </c>
      <c r="W123" s="1">
        <v>115</v>
      </c>
      <c r="X123" s="1">
        <v>123.2</v>
      </c>
      <c r="Y123" s="1">
        <v>120.3</v>
      </c>
      <c r="Z123" s="1">
        <v>110.7</v>
      </c>
      <c r="AA123" s="1">
        <v>119.8</v>
      </c>
      <c r="AB123" s="1">
        <v>128</v>
      </c>
      <c r="AC123" s="1">
        <v>118.5</v>
      </c>
      <c r="AD123" s="1">
        <v>118.7</v>
      </c>
      <c r="AE123" s="1">
        <v>126.6</v>
      </c>
      <c r="AF123" s="6">
        <f t="shared" si="4"/>
        <v>134.36923076923074</v>
      </c>
      <c r="AG123" s="6">
        <f t="shared" si="5"/>
        <v>126.89999999999999</v>
      </c>
      <c r="AH123" s="6">
        <f t="shared" si="6"/>
        <v>124.7</v>
      </c>
      <c r="AI123" s="6">
        <f t="shared" si="7"/>
        <v>120.58</v>
      </c>
      <c r="AJ123" s="6">
        <f>IFERROR(AVERAGE(Main[[#This Row],[Health]],Main[[#This Row],[Personal care and effects]]),"NA")</f>
        <v>119.4</v>
      </c>
    </row>
    <row r="124" spans="1:36" ht="13.2" x14ac:dyDescent="0.25">
      <c r="A124" s="1" t="s">
        <v>40</v>
      </c>
      <c r="B124" s="1">
        <v>2016</v>
      </c>
      <c r="C124" s="1" t="s">
        <v>44</v>
      </c>
      <c r="D124" s="8">
        <f>DATEVALUE(Main[[#This Row],[Month]]&amp;Main[[#This Row],[Year]])</f>
        <v>42491</v>
      </c>
      <c r="E124" s="1">
        <v>126.8</v>
      </c>
      <c r="F124" s="1">
        <v>139.1</v>
      </c>
      <c r="G124" s="1">
        <v>125.4</v>
      </c>
      <c r="H124" s="1">
        <v>131.69999999999999</v>
      </c>
      <c r="I124" s="1">
        <v>115</v>
      </c>
      <c r="J124" s="1">
        <v>136</v>
      </c>
      <c r="K124" s="1">
        <v>145.1</v>
      </c>
      <c r="L124" s="1">
        <v>171.7</v>
      </c>
      <c r="M124" s="1">
        <v>108.7</v>
      </c>
      <c r="N124" s="1">
        <v>135.30000000000001</v>
      </c>
      <c r="O124" s="1">
        <v>124.2</v>
      </c>
      <c r="P124" s="1">
        <v>137.4</v>
      </c>
      <c r="Q124" s="1">
        <v>134</v>
      </c>
      <c r="R124" s="1">
        <v>137.69999999999999</v>
      </c>
      <c r="S124" s="1">
        <v>132.19999999999999</v>
      </c>
      <c r="T124" s="1">
        <v>126.8</v>
      </c>
      <c r="U124" s="1">
        <v>131.4</v>
      </c>
      <c r="V124" s="1">
        <v>126</v>
      </c>
      <c r="W124" s="1">
        <v>122.7</v>
      </c>
      <c r="X124" s="1">
        <v>126</v>
      </c>
      <c r="Y124" s="1">
        <v>123.7</v>
      </c>
      <c r="Z124" s="1">
        <v>112.8</v>
      </c>
      <c r="AA124" s="1">
        <v>121.5</v>
      </c>
      <c r="AB124" s="1">
        <v>128.5</v>
      </c>
      <c r="AC124" s="1">
        <v>119.2</v>
      </c>
      <c r="AD124" s="1">
        <v>120.7</v>
      </c>
      <c r="AE124" s="1">
        <v>128.6</v>
      </c>
      <c r="AF124" s="6">
        <f t="shared" si="4"/>
        <v>133.1076923076923</v>
      </c>
      <c r="AG124" s="6">
        <f t="shared" si="5"/>
        <v>126.63333333333333</v>
      </c>
      <c r="AH124" s="6">
        <f t="shared" si="6"/>
        <v>130.13333333333333</v>
      </c>
      <c r="AI124" s="6">
        <f t="shared" si="7"/>
        <v>123.2</v>
      </c>
      <c r="AJ124" s="6">
        <f>IFERROR(AVERAGE(Main[[#This Row],[Health]],Main[[#This Row],[Personal care and effects]]),"NA")</f>
        <v>121.45</v>
      </c>
    </row>
    <row r="125" spans="1:36" ht="13.2" x14ac:dyDescent="0.25">
      <c r="A125" s="1" t="s">
        <v>36</v>
      </c>
      <c r="B125" s="1">
        <v>2016</v>
      </c>
      <c r="C125" s="1" t="s">
        <v>45</v>
      </c>
      <c r="D125" s="8">
        <f>DATEVALUE(Main[[#This Row],[Month]]&amp;Main[[#This Row],[Year]])</f>
        <v>42522</v>
      </c>
      <c r="E125" s="1">
        <v>128.6</v>
      </c>
      <c r="F125" s="1">
        <v>138.6</v>
      </c>
      <c r="G125" s="1">
        <v>126.6</v>
      </c>
      <c r="H125" s="1">
        <v>133.6</v>
      </c>
      <c r="I125" s="1">
        <v>118.6</v>
      </c>
      <c r="J125" s="1">
        <v>137.4</v>
      </c>
      <c r="K125" s="1">
        <v>152.5</v>
      </c>
      <c r="L125" s="1">
        <v>169.2</v>
      </c>
      <c r="M125" s="1">
        <v>108.8</v>
      </c>
      <c r="N125" s="1">
        <v>133.1</v>
      </c>
      <c r="O125" s="1">
        <v>126.4</v>
      </c>
      <c r="P125" s="1">
        <v>139.19999999999999</v>
      </c>
      <c r="Q125" s="1">
        <v>136</v>
      </c>
      <c r="R125" s="1">
        <v>137.19999999999999</v>
      </c>
      <c r="S125" s="1">
        <v>136.30000000000001</v>
      </c>
      <c r="T125" s="1">
        <v>131.6</v>
      </c>
      <c r="U125" s="1">
        <v>135.6</v>
      </c>
      <c r="V125" s="1" t="s">
        <v>38</v>
      </c>
      <c r="W125" s="1">
        <v>128</v>
      </c>
      <c r="X125" s="1">
        <v>129.30000000000001</v>
      </c>
      <c r="Y125" s="1">
        <v>126.2</v>
      </c>
      <c r="Z125" s="1">
        <v>116.3</v>
      </c>
      <c r="AA125" s="1">
        <v>124.1</v>
      </c>
      <c r="AB125" s="1">
        <v>130.19999999999999</v>
      </c>
      <c r="AC125" s="1">
        <v>119.9</v>
      </c>
      <c r="AD125" s="1">
        <v>123.3</v>
      </c>
      <c r="AE125" s="1">
        <v>131.9</v>
      </c>
      <c r="AF125" s="6">
        <f t="shared" si="4"/>
        <v>134.50769230769231</v>
      </c>
      <c r="AG125" s="6">
        <f t="shared" si="5"/>
        <v>128.19999999999999</v>
      </c>
      <c r="AH125" s="6">
        <f t="shared" si="6"/>
        <v>134.5</v>
      </c>
      <c r="AI125" s="6">
        <f t="shared" si="7"/>
        <v>125.95</v>
      </c>
      <c r="AJ125" s="6">
        <f>IFERROR(AVERAGE(Main[[#This Row],[Health]],Main[[#This Row],[Personal care and effects]]),"NA")</f>
        <v>123.05000000000001</v>
      </c>
    </row>
    <row r="126" spans="1:36" ht="13.2" x14ac:dyDescent="0.25">
      <c r="A126" s="1" t="s">
        <v>39</v>
      </c>
      <c r="B126" s="1">
        <v>2016</v>
      </c>
      <c r="C126" s="1" t="s">
        <v>45</v>
      </c>
      <c r="D126" s="8">
        <f>DATEVALUE(Main[[#This Row],[Month]]&amp;Main[[#This Row],[Year]])</f>
        <v>42522</v>
      </c>
      <c r="E126" s="1">
        <v>125.9</v>
      </c>
      <c r="F126" s="1">
        <v>143.9</v>
      </c>
      <c r="G126" s="1">
        <v>130.9</v>
      </c>
      <c r="H126" s="1">
        <v>131</v>
      </c>
      <c r="I126" s="1">
        <v>110.2</v>
      </c>
      <c r="J126" s="1">
        <v>135.5</v>
      </c>
      <c r="K126" s="1">
        <v>173.7</v>
      </c>
      <c r="L126" s="1">
        <v>184.4</v>
      </c>
      <c r="M126" s="1">
        <v>112</v>
      </c>
      <c r="N126" s="1">
        <v>142.80000000000001</v>
      </c>
      <c r="O126" s="1">
        <v>121.6</v>
      </c>
      <c r="P126" s="1">
        <v>136.9</v>
      </c>
      <c r="Q126" s="1">
        <v>138.19999999999999</v>
      </c>
      <c r="R126" s="1">
        <v>142.69999999999999</v>
      </c>
      <c r="S126" s="1">
        <v>127.6</v>
      </c>
      <c r="T126" s="1">
        <v>121.1</v>
      </c>
      <c r="U126" s="1">
        <v>126.6</v>
      </c>
      <c r="V126" s="1">
        <v>125.5</v>
      </c>
      <c r="W126" s="1">
        <v>115.5</v>
      </c>
      <c r="X126" s="1">
        <v>123.2</v>
      </c>
      <c r="Y126" s="1">
        <v>120.6</v>
      </c>
      <c r="Z126" s="1">
        <v>112.3</v>
      </c>
      <c r="AA126" s="1">
        <v>119.9</v>
      </c>
      <c r="AB126" s="1">
        <v>129.30000000000001</v>
      </c>
      <c r="AC126" s="1">
        <v>118.8</v>
      </c>
      <c r="AD126" s="1">
        <v>119.6</v>
      </c>
      <c r="AE126" s="1">
        <v>128.1</v>
      </c>
      <c r="AF126" s="6">
        <f t="shared" si="4"/>
        <v>137.46153846153848</v>
      </c>
      <c r="AG126" s="6">
        <f t="shared" si="5"/>
        <v>127.40000000000002</v>
      </c>
      <c r="AH126" s="6">
        <f t="shared" si="6"/>
        <v>125.09999999999998</v>
      </c>
      <c r="AI126" s="6">
        <f t="shared" si="7"/>
        <v>121.16</v>
      </c>
      <c r="AJ126" s="6">
        <f>IFERROR(AVERAGE(Main[[#This Row],[Health]],Main[[#This Row],[Personal care and effects]]),"NA")</f>
        <v>119.69999999999999</v>
      </c>
    </row>
    <row r="127" spans="1:36" ht="13.2" x14ac:dyDescent="0.25">
      <c r="A127" s="1" t="s">
        <v>40</v>
      </c>
      <c r="B127" s="1">
        <v>2016</v>
      </c>
      <c r="C127" s="1" t="s">
        <v>45</v>
      </c>
      <c r="D127" s="8">
        <f>DATEVALUE(Main[[#This Row],[Month]]&amp;Main[[#This Row],[Year]])</f>
        <v>42522</v>
      </c>
      <c r="E127" s="1">
        <v>127.7</v>
      </c>
      <c r="F127" s="1">
        <v>140.5</v>
      </c>
      <c r="G127" s="1">
        <v>128.30000000000001</v>
      </c>
      <c r="H127" s="1">
        <v>132.6</v>
      </c>
      <c r="I127" s="1">
        <v>115.5</v>
      </c>
      <c r="J127" s="1">
        <v>136.5</v>
      </c>
      <c r="K127" s="1">
        <v>159.69999999999999</v>
      </c>
      <c r="L127" s="1">
        <v>174.3</v>
      </c>
      <c r="M127" s="1">
        <v>109.9</v>
      </c>
      <c r="N127" s="1">
        <v>136.30000000000001</v>
      </c>
      <c r="O127" s="1">
        <v>124.4</v>
      </c>
      <c r="P127" s="1">
        <v>138.1</v>
      </c>
      <c r="Q127" s="1">
        <v>136.80000000000001</v>
      </c>
      <c r="R127" s="1">
        <v>138.69999999999999</v>
      </c>
      <c r="S127" s="1">
        <v>132.9</v>
      </c>
      <c r="T127" s="1">
        <v>127.2</v>
      </c>
      <c r="U127" s="1">
        <v>132</v>
      </c>
      <c r="V127" s="1">
        <v>125.5</v>
      </c>
      <c r="W127" s="1">
        <v>123.3</v>
      </c>
      <c r="X127" s="1">
        <v>126.4</v>
      </c>
      <c r="Y127" s="1">
        <v>124.1</v>
      </c>
      <c r="Z127" s="1">
        <v>114.2</v>
      </c>
      <c r="AA127" s="1">
        <v>121.7</v>
      </c>
      <c r="AB127" s="1">
        <v>129.69999999999999</v>
      </c>
      <c r="AC127" s="1">
        <v>119.4</v>
      </c>
      <c r="AD127" s="1">
        <v>121.5</v>
      </c>
      <c r="AE127" s="1">
        <v>130.1</v>
      </c>
      <c r="AF127" s="6">
        <f t="shared" si="4"/>
        <v>135.43076923076922</v>
      </c>
      <c r="AG127" s="6">
        <f t="shared" si="5"/>
        <v>127.3</v>
      </c>
      <c r="AH127" s="6">
        <f t="shared" si="6"/>
        <v>130.70000000000002</v>
      </c>
      <c r="AI127" s="6">
        <f t="shared" si="7"/>
        <v>123.82000000000001</v>
      </c>
      <c r="AJ127" s="6">
        <f>IFERROR(AVERAGE(Main[[#This Row],[Health]],Main[[#This Row],[Personal care and effects]]),"NA")</f>
        <v>121.75</v>
      </c>
    </row>
    <row r="128" spans="1:36" ht="13.2" x14ac:dyDescent="0.25">
      <c r="A128" s="1" t="s">
        <v>36</v>
      </c>
      <c r="B128" s="1">
        <v>2016</v>
      </c>
      <c r="C128" s="1" t="s">
        <v>46</v>
      </c>
      <c r="D128" s="8">
        <f>DATEVALUE(Main[[#This Row],[Month]]&amp;Main[[#This Row],[Year]])</f>
        <v>42552</v>
      </c>
      <c r="E128" s="1">
        <v>129.30000000000001</v>
      </c>
      <c r="F128" s="1">
        <v>139.5</v>
      </c>
      <c r="G128" s="1">
        <v>129.6</v>
      </c>
      <c r="H128" s="1">
        <v>134.5</v>
      </c>
      <c r="I128" s="1">
        <v>119.5</v>
      </c>
      <c r="J128" s="1">
        <v>138.5</v>
      </c>
      <c r="K128" s="1">
        <v>158.19999999999999</v>
      </c>
      <c r="L128" s="1">
        <v>171.8</v>
      </c>
      <c r="M128" s="1">
        <v>110.3</v>
      </c>
      <c r="N128" s="1">
        <v>134.30000000000001</v>
      </c>
      <c r="O128" s="1">
        <v>127.3</v>
      </c>
      <c r="P128" s="1">
        <v>139.9</v>
      </c>
      <c r="Q128" s="1">
        <v>137.6</v>
      </c>
      <c r="R128" s="1">
        <v>138</v>
      </c>
      <c r="S128" s="1">
        <v>137.19999999999999</v>
      </c>
      <c r="T128" s="1">
        <v>132.19999999999999</v>
      </c>
      <c r="U128" s="1">
        <v>136.5</v>
      </c>
      <c r="V128" s="1" t="s">
        <v>38</v>
      </c>
      <c r="W128" s="1">
        <v>128.19999999999999</v>
      </c>
      <c r="X128" s="1">
        <v>130</v>
      </c>
      <c r="Y128" s="1">
        <v>126.7</v>
      </c>
      <c r="Z128" s="1">
        <v>116.4</v>
      </c>
      <c r="AA128" s="1">
        <v>125.2</v>
      </c>
      <c r="AB128" s="1">
        <v>130.80000000000001</v>
      </c>
      <c r="AC128" s="1">
        <v>120.9</v>
      </c>
      <c r="AD128" s="1">
        <v>123.8</v>
      </c>
      <c r="AE128" s="1">
        <v>133</v>
      </c>
      <c r="AF128" s="6">
        <f t="shared" si="4"/>
        <v>136.17692307692306</v>
      </c>
      <c r="AG128" s="6">
        <f t="shared" si="5"/>
        <v>129</v>
      </c>
      <c r="AH128" s="6">
        <f t="shared" si="6"/>
        <v>135.29999999999998</v>
      </c>
      <c r="AI128" s="6">
        <f t="shared" si="7"/>
        <v>126.35000000000001</v>
      </c>
      <c r="AJ128" s="6">
        <f>IFERROR(AVERAGE(Main[[#This Row],[Health]],Main[[#This Row],[Personal care and effects]]),"NA")</f>
        <v>123.80000000000001</v>
      </c>
    </row>
    <row r="129" spans="1:36" ht="13.2" x14ac:dyDescent="0.25">
      <c r="A129" s="1" t="s">
        <v>39</v>
      </c>
      <c r="B129" s="1">
        <v>2016</v>
      </c>
      <c r="C129" s="1" t="s">
        <v>46</v>
      </c>
      <c r="D129" s="8">
        <f>DATEVALUE(Main[[#This Row],[Month]]&amp;Main[[#This Row],[Year]])</f>
        <v>42552</v>
      </c>
      <c r="E129" s="1">
        <v>126.8</v>
      </c>
      <c r="F129" s="1">
        <v>144.19999999999999</v>
      </c>
      <c r="G129" s="1">
        <v>136.6</v>
      </c>
      <c r="H129" s="1">
        <v>131.80000000000001</v>
      </c>
      <c r="I129" s="1">
        <v>111</v>
      </c>
      <c r="J129" s="1">
        <v>137</v>
      </c>
      <c r="K129" s="1">
        <v>179.5</v>
      </c>
      <c r="L129" s="1">
        <v>188.4</v>
      </c>
      <c r="M129" s="1">
        <v>113.3</v>
      </c>
      <c r="N129" s="1">
        <v>143.9</v>
      </c>
      <c r="O129" s="1">
        <v>121.7</v>
      </c>
      <c r="P129" s="1">
        <v>137.5</v>
      </c>
      <c r="Q129" s="1">
        <v>139.80000000000001</v>
      </c>
      <c r="R129" s="1">
        <v>142.9</v>
      </c>
      <c r="S129" s="1">
        <v>127.9</v>
      </c>
      <c r="T129" s="1">
        <v>121.1</v>
      </c>
      <c r="U129" s="1">
        <v>126.9</v>
      </c>
      <c r="V129" s="1">
        <v>126.4</v>
      </c>
      <c r="W129" s="1">
        <v>115.5</v>
      </c>
      <c r="X129" s="1">
        <v>123.5</v>
      </c>
      <c r="Y129" s="1">
        <v>120.9</v>
      </c>
      <c r="Z129" s="1">
        <v>111.7</v>
      </c>
      <c r="AA129" s="1">
        <v>120.3</v>
      </c>
      <c r="AB129" s="1">
        <v>130.80000000000001</v>
      </c>
      <c r="AC129" s="1">
        <v>120</v>
      </c>
      <c r="AD129" s="1">
        <v>119.9</v>
      </c>
      <c r="AE129" s="1">
        <v>129</v>
      </c>
      <c r="AF129" s="6">
        <f t="shared" si="4"/>
        <v>139.34615384615387</v>
      </c>
      <c r="AG129" s="6">
        <f t="shared" si="5"/>
        <v>127.7</v>
      </c>
      <c r="AH129" s="6">
        <f t="shared" si="6"/>
        <v>125.3</v>
      </c>
      <c r="AI129" s="6">
        <f t="shared" si="7"/>
        <v>121.58</v>
      </c>
      <c r="AJ129" s="6">
        <f>IFERROR(AVERAGE(Main[[#This Row],[Health]],Main[[#This Row],[Personal care and effects]]),"NA")</f>
        <v>120.45</v>
      </c>
    </row>
    <row r="130" spans="1:36" ht="13.2" x14ac:dyDescent="0.25">
      <c r="A130" s="1" t="s">
        <v>40</v>
      </c>
      <c r="B130" s="1">
        <v>2016</v>
      </c>
      <c r="C130" s="1" t="s">
        <v>46</v>
      </c>
      <c r="D130" s="8">
        <f>DATEVALUE(Main[[#This Row],[Month]]&amp;Main[[#This Row],[Year]])</f>
        <v>42552</v>
      </c>
      <c r="E130" s="1">
        <v>128.5</v>
      </c>
      <c r="F130" s="1">
        <v>141.19999999999999</v>
      </c>
      <c r="G130" s="1">
        <v>132.30000000000001</v>
      </c>
      <c r="H130" s="1">
        <v>133.5</v>
      </c>
      <c r="I130" s="1">
        <v>116.4</v>
      </c>
      <c r="J130" s="1">
        <v>137.80000000000001</v>
      </c>
      <c r="K130" s="1">
        <v>165.4</v>
      </c>
      <c r="L130" s="1">
        <v>177.4</v>
      </c>
      <c r="M130" s="1">
        <v>111.3</v>
      </c>
      <c r="N130" s="1">
        <v>137.5</v>
      </c>
      <c r="O130" s="1">
        <v>125</v>
      </c>
      <c r="P130" s="1">
        <v>138.80000000000001</v>
      </c>
      <c r="Q130" s="1">
        <v>138.4</v>
      </c>
      <c r="R130" s="1">
        <v>139.30000000000001</v>
      </c>
      <c r="S130" s="1">
        <v>133.5</v>
      </c>
      <c r="T130" s="1">
        <v>127.6</v>
      </c>
      <c r="U130" s="1">
        <v>132.69999999999999</v>
      </c>
      <c r="V130" s="1">
        <v>126.4</v>
      </c>
      <c r="W130" s="1">
        <v>123.4</v>
      </c>
      <c r="X130" s="1">
        <v>126.9</v>
      </c>
      <c r="Y130" s="1">
        <v>124.5</v>
      </c>
      <c r="Z130" s="1">
        <v>113.9</v>
      </c>
      <c r="AA130" s="1">
        <v>122.4</v>
      </c>
      <c r="AB130" s="1">
        <v>130.80000000000001</v>
      </c>
      <c r="AC130" s="1">
        <v>120.5</v>
      </c>
      <c r="AD130" s="1">
        <v>121.9</v>
      </c>
      <c r="AE130" s="1">
        <v>131.1</v>
      </c>
      <c r="AF130" s="6">
        <f t="shared" ref="AF130:AF193" si="8">IFERROR(AVERAGE(E130:Q130),"NA")</f>
        <v>137.19230769230768</v>
      </c>
      <c r="AG130" s="6">
        <f t="shared" ref="AG130:AG193" si="9">IFERROR(AVERAGE(R130,AA130,AD130),"NA")</f>
        <v>127.86666666666667</v>
      </c>
      <c r="AH130" s="6">
        <f t="shared" ref="AH130:AH193" si="10">IFERROR(AVERAGE(S130:U130),"NA")</f>
        <v>131.26666666666668</v>
      </c>
      <c r="AI130" s="6">
        <f t="shared" ref="AI130:AI193" si="11">IFERROR(AVERAGE(V130,W130,X130,Z130,AB130),"NA")</f>
        <v>124.28000000000002</v>
      </c>
      <c r="AJ130" s="6">
        <f>IFERROR(AVERAGE(Main[[#This Row],[Health]],Main[[#This Row],[Personal care and effects]]),"NA")</f>
        <v>122.5</v>
      </c>
    </row>
    <row r="131" spans="1:36" ht="13.2" x14ac:dyDescent="0.25">
      <c r="A131" s="1" t="s">
        <v>36</v>
      </c>
      <c r="B131" s="1">
        <v>2016</v>
      </c>
      <c r="C131" s="1" t="s">
        <v>47</v>
      </c>
      <c r="D131" s="8">
        <f>DATEVALUE(Main[[#This Row],[Month]]&amp;Main[[#This Row],[Year]])</f>
        <v>42583</v>
      </c>
      <c r="E131" s="1">
        <v>130.1</v>
      </c>
      <c r="F131" s="1">
        <v>138.80000000000001</v>
      </c>
      <c r="G131" s="1">
        <v>130.30000000000001</v>
      </c>
      <c r="H131" s="1">
        <v>135.30000000000001</v>
      </c>
      <c r="I131" s="1">
        <v>119.9</v>
      </c>
      <c r="J131" s="1">
        <v>140.19999999999999</v>
      </c>
      <c r="K131" s="1">
        <v>156.9</v>
      </c>
      <c r="L131" s="1">
        <v>172.2</v>
      </c>
      <c r="M131" s="1">
        <v>112.1</v>
      </c>
      <c r="N131" s="1">
        <v>134.9</v>
      </c>
      <c r="O131" s="1">
        <v>128.1</v>
      </c>
      <c r="P131" s="1">
        <v>140.69999999999999</v>
      </c>
      <c r="Q131" s="1">
        <v>138</v>
      </c>
      <c r="R131" s="1">
        <v>138.9</v>
      </c>
      <c r="S131" s="1">
        <v>137.80000000000001</v>
      </c>
      <c r="T131" s="1">
        <v>133</v>
      </c>
      <c r="U131" s="1">
        <v>137.1</v>
      </c>
      <c r="V131" s="1" t="s">
        <v>38</v>
      </c>
      <c r="W131" s="1">
        <v>129.1</v>
      </c>
      <c r="X131" s="1">
        <v>130.6</v>
      </c>
      <c r="Y131" s="1">
        <v>127</v>
      </c>
      <c r="Z131" s="1">
        <v>116</v>
      </c>
      <c r="AA131" s="1">
        <v>125.5</v>
      </c>
      <c r="AB131" s="1">
        <v>131.9</v>
      </c>
      <c r="AC131" s="1">
        <v>122</v>
      </c>
      <c r="AD131" s="1">
        <v>124.2</v>
      </c>
      <c r="AE131" s="1">
        <v>133.5</v>
      </c>
      <c r="AF131" s="6">
        <f t="shared" si="8"/>
        <v>136.73076923076923</v>
      </c>
      <c r="AG131" s="6">
        <f t="shared" si="9"/>
        <v>129.53333333333333</v>
      </c>
      <c r="AH131" s="6">
        <f t="shared" si="10"/>
        <v>135.96666666666667</v>
      </c>
      <c r="AI131" s="6">
        <f t="shared" si="11"/>
        <v>126.9</v>
      </c>
      <c r="AJ131" s="6">
        <f>IFERROR(AVERAGE(Main[[#This Row],[Health]],Main[[#This Row],[Personal care and effects]]),"NA")</f>
        <v>124.5</v>
      </c>
    </row>
    <row r="132" spans="1:36" ht="13.2" x14ac:dyDescent="0.25">
      <c r="A132" s="1" t="s">
        <v>39</v>
      </c>
      <c r="B132" s="1">
        <v>2016</v>
      </c>
      <c r="C132" s="1" t="s">
        <v>47</v>
      </c>
      <c r="D132" s="8">
        <f>DATEVALUE(Main[[#This Row],[Month]]&amp;Main[[#This Row],[Year]])</f>
        <v>42583</v>
      </c>
      <c r="E132" s="1">
        <v>127.6</v>
      </c>
      <c r="F132" s="1">
        <v>140.30000000000001</v>
      </c>
      <c r="G132" s="1">
        <v>133.69999999999999</v>
      </c>
      <c r="H132" s="1">
        <v>132.19999999999999</v>
      </c>
      <c r="I132" s="1">
        <v>111.8</v>
      </c>
      <c r="J132" s="1">
        <v>135.80000000000001</v>
      </c>
      <c r="K132" s="1">
        <v>163.5</v>
      </c>
      <c r="L132" s="1">
        <v>182.3</v>
      </c>
      <c r="M132" s="1">
        <v>114.6</v>
      </c>
      <c r="N132" s="1">
        <v>144.6</v>
      </c>
      <c r="O132" s="1">
        <v>121.9</v>
      </c>
      <c r="P132" s="1">
        <v>138.1</v>
      </c>
      <c r="Q132" s="1">
        <v>137.6</v>
      </c>
      <c r="R132" s="1">
        <v>143.6</v>
      </c>
      <c r="S132" s="1">
        <v>128.30000000000001</v>
      </c>
      <c r="T132" s="1">
        <v>121.4</v>
      </c>
      <c r="U132" s="1">
        <v>127.3</v>
      </c>
      <c r="V132" s="1">
        <v>127.3</v>
      </c>
      <c r="W132" s="1">
        <v>114.7</v>
      </c>
      <c r="X132" s="1">
        <v>123.9</v>
      </c>
      <c r="Y132" s="1">
        <v>121.2</v>
      </c>
      <c r="Z132" s="1">
        <v>110.4</v>
      </c>
      <c r="AA132" s="1">
        <v>120.6</v>
      </c>
      <c r="AB132" s="1">
        <v>131.5</v>
      </c>
      <c r="AC132" s="1">
        <v>120.9</v>
      </c>
      <c r="AD132" s="1">
        <v>119.9</v>
      </c>
      <c r="AE132" s="1">
        <v>128.4</v>
      </c>
      <c r="AF132" s="6">
        <f t="shared" si="8"/>
        <v>137.2307692307692</v>
      </c>
      <c r="AG132" s="6">
        <f t="shared" si="9"/>
        <v>128.03333333333333</v>
      </c>
      <c r="AH132" s="6">
        <f t="shared" si="10"/>
        <v>125.66666666666667</v>
      </c>
      <c r="AI132" s="6">
        <f t="shared" si="11"/>
        <v>121.55999999999999</v>
      </c>
      <c r="AJ132" s="6">
        <f>IFERROR(AVERAGE(Main[[#This Row],[Health]],Main[[#This Row],[Personal care and effects]]),"NA")</f>
        <v>121.05000000000001</v>
      </c>
    </row>
    <row r="133" spans="1:36" ht="13.2" x14ac:dyDescent="0.25">
      <c r="A133" s="1" t="s">
        <v>40</v>
      </c>
      <c r="B133" s="1">
        <v>2016</v>
      </c>
      <c r="C133" s="1" t="s">
        <v>47</v>
      </c>
      <c r="D133" s="8">
        <f>DATEVALUE(Main[[#This Row],[Month]]&amp;Main[[#This Row],[Year]])</f>
        <v>42583</v>
      </c>
      <c r="E133" s="1">
        <v>129.30000000000001</v>
      </c>
      <c r="F133" s="1">
        <v>139.30000000000001</v>
      </c>
      <c r="G133" s="1">
        <v>131.6</v>
      </c>
      <c r="H133" s="1">
        <v>134.1</v>
      </c>
      <c r="I133" s="1">
        <v>116.9</v>
      </c>
      <c r="J133" s="1">
        <v>138.1</v>
      </c>
      <c r="K133" s="1">
        <v>159.1</v>
      </c>
      <c r="L133" s="1">
        <v>175.6</v>
      </c>
      <c r="M133" s="1">
        <v>112.9</v>
      </c>
      <c r="N133" s="1">
        <v>138.1</v>
      </c>
      <c r="O133" s="1">
        <v>125.5</v>
      </c>
      <c r="P133" s="1">
        <v>139.5</v>
      </c>
      <c r="Q133" s="1">
        <v>137.9</v>
      </c>
      <c r="R133" s="1">
        <v>140.19999999999999</v>
      </c>
      <c r="S133" s="1">
        <v>134.1</v>
      </c>
      <c r="T133" s="1">
        <v>128.19999999999999</v>
      </c>
      <c r="U133" s="1">
        <v>133.19999999999999</v>
      </c>
      <c r="V133" s="1">
        <v>127.3</v>
      </c>
      <c r="W133" s="1">
        <v>123.6</v>
      </c>
      <c r="X133" s="1">
        <v>127.4</v>
      </c>
      <c r="Y133" s="1">
        <v>124.8</v>
      </c>
      <c r="Z133" s="1">
        <v>113.1</v>
      </c>
      <c r="AA133" s="1">
        <v>122.7</v>
      </c>
      <c r="AB133" s="1">
        <v>131.69999999999999</v>
      </c>
      <c r="AC133" s="1">
        <v>121.5</v>
      </c>
      <c r="AD133" s="1">
        <v>122.1</v>
      </c>
      <c r="AE133" s="1">
        <v>131.1</v>
      </c>
      <c r="AF133" s="6">
        <f t="shared" si="8"/>
        <v>136.76153846153846</v>
      </c>
      <c r="AG133" s="6">
        <f t="shared" si="9"/>
        <v>128.33333333333334</v>
      </c>
      <c r="AH133" s="6">
        <f t="shared" si="10"/>
        <v>131.83333333333331</v>
      </c>
      <c r="AI133" s="6">
        <f t="shared" si="11"/>
        <v>124.61999999999998</v>
      </c>
      <c r="AJ133" s="6">
        <f>IFERROR(AVERAGE(Main[[#This Row],[Health]],Main[[#This Row],[Personal care and effects]]),"NA")</f>
        <v>123.15</v>
      </c>
    </row>
    <row r="134" spans="1:36" ht="13.2" x14ac:dyDescent="0.25">
      <c r="A134" s="1" t="s">
        <v>36</v>
      </c>
      <c r="B134" s="1">
        <v>2016</v>
      </c>
      <c r="C134" s="1" t="s">
        <v>48</v>
      </c>
      <c r="D134" s="8">
        <f>DATEVALUE(Main[[#This Row],[Month]]&amp;Main[[#This Row],[Year]])</f>
        <v>42614</v>
      </c>
      <c r="E134" s="1">
        <v>130.80000000000001</v>
      </c>
      <c r="F134" s="1">
        <v>138.19999999999999</v>
      </c>
      <c r="G134" s="1">
        <v>130.5</v>
      </c>
      <c r="H134" s="1">
        <v>135.5</v>
      </c>
      <c r="I134" s="1">
        <v>120.2</v>
      </c>
      <c r="J134" s="1">
        <v>139.19999999999999</v>
      </c>
      <c r="K134" s="1">
        <v>149.5</v>
      </c>
      <c r="L134" s="1">
        <v>170.4</v>
      </c>
      <c r="M134" s="1">
        <v>113.1</v>
      </c>
      <c r="N134" s="1">
        <v>135.80000000000001</v>
      </c>
      <c r="O134" s="1">
        <v>128.80000000000001</v>
      </c>
      <c r="P134" s="1">
        <v>141.5</v>
      </c>
      <c r="Q134" s="1">
        <v>137.19999999999999</v>
      </c>
      <c r="R134" s="1">
        <v>139.9</v>
      </c>
      <c r="S134" s="1">
        <v>138.5</v>
      </c>
      <c r="T134" s="1">
        <v>133.5</v>
      </c>
      <c r="U134" s="1">
        <v>137.80000000000001</v>
      </c>
      <c r="V134" s="1" t="s">
        <v>38</v>
      </c>
      <c r="W134" s="1">
        <v>129.69999999999999</v>
      </c>
      <c r="X134" s="1">
        <v>131.1</v>
      </c>
      <c r="Y134" s="1">
        <v>127.8</v>
      </c>
      <c r="Z134" s="1">
        <v>117</v>
      </c>
      <c r="AA134" s="1">
        <v>125.7</v>
      </c>
      <c r="AB134" s="1">
        <v>132.19999999999999</v>
      </c>
      <c r="AC134" s="1">
        <v>122.8</v>
      </c>
      <c r="AD134" s="1">
        <v>124.9</v>
      </c>
      <c r="AE134" s="1">
        <v>133.4</v>
      </c>
      <c r="AF134" s="6">
        <f t="shared" si="8"/>
        <v>136.2076923076923</v>
      </c>
      <c r="AG134" s="6">
        <f t="shared" si="9"/>
        <v>130.16666666666666</v>
      </c>
      <c r="AH134" s="6">
        <f t="shared" si="10"/>
        <v>136.6</v>
      </c>
      <c r="AI134" s="6">
        <f t="shared" si="11"/>
        <v>127.49999999999999</v>
      </c>
      <c r="AJ134" s="6">
        <f>IFERROR(AVERAGE(Main[[#This Row],[Health]],Main[[#This Row],[Personal care and effects]]),"NA")</f>
        <v>125.3</v>
      </c>
    </row>
    <row r="135" spans="1:36" ht="13.2" x14ac:dyDescent="0.25">
      <c r="A135" s="1" t="s">
        <v>39</v>
      </c>
      <c r="B135" s="1">
        <v>2016</v>
      </c>
      <c r="C135" s="1" t="s">
        <v>48</v>
      </c>
      <c r="D135" s="8">
        <f>DATEVALUE(Main[[#This Row],[Month]]&amp;Main[[#This Row],[Year]])</f>
        <v>42614</v>
      </c>
      <c r="E135" s="1">
        <v>128.1</v>
      </c>
      <c r="F135" s="1">
        <v>137.69999999999999</v>
      </c>
      <c r="G135" s="1">
        <v>130.6</v>
      </c>
      <c r="H135" s="1">
        <v>132.6</v>
      </c>
      <c r="I135" s="1">
        <v>111.9</v>
      </c>
      <c r="J135" s="1">
        <v>132.5</v>
      </c>
      <c r="K135" s="1">
        <v>152.9</v>
      </c>
      <c r="L135" s="1">
        <v>173.6</v>
      </c>
      <c r="M135" s="1">
        <v>115.1</v>
      </c>
      <c r="N135" s="1">
        <v>144.80000000000001</v>
      </c>
      <c r="O135" s="1">
        <v>122.1</v>
      </c>
      <c r="P135" s="1">
        <v>138.80000000000001</v>
      </c>
      <c r="Q135" s="1">
        <v>135.69999999999999</v>
      </c>
      <c r="R135" s="1">
        <v>143.9</v>
      </c>
      <c r="S135" s="1">
        <v>128.69999999999999</v>
      </c>
      <c r="T135" s="1">
        <v>121.6</v>
      </c>
      <c r="U135" s="1">
        <v>127.7</v>
      </c>
      <c r="V135" s="1">
        <v>127.9</v>
      </c>
      <c r="W135" s="1">
        <v>114.8</v>
      </c>
      <c r="X135" s="1">
        <v>124.3</v>
      </c>
      <c r="Y135" s="1">
        <v>121.4</v>
      </c>
      <c r="Z135" s="1">
        <v>111.8</v>
      </c>
      <c r="AA135" s="1">
        <v>120.8</v>
      </c>
      <c r="AB135" s="1">
        <v>131.6</v>
      </c>
      <c r="AC135" s="1">
        <v>121.2</v>
      </c>
      <c r="AD135" s="1">
        <v>120.5</v>
      </c>
      <c r="AE135" s="1">
        <v>128</v>
      </c>
      <c r="AF135" s="6">
        <f t="shared" si="8"/>
        <v>135.10769230769228</v>
      </c>
      <c r="AG135" s="6">
        <f t="shared" si="9"/>
        <v>128.4</v>
      </c>
      <c r="AH135" s="6">
        <f t="shared" si="10"/>
        <v>126</v>
      </c>
      <c r="AI135" s="6">
        <f t="shared" si="11"/>
        <v>122.08</v>
      </c>
      <c r="AJ135" s="6">
        <f>IFERROR(AVERAGE(Main[[#This Row],[Health]],Main[[#This Row],[Personal care and effects]]),"NA")</f>
        <v>121.30000000000001</v>
      </c>
    </row>
    <row r="136" spans="1:36" ht="13.2" x14ac:dyDescent="0.25">
      <c r="A136" s="1" t="s">
        <v>40</v>
      </c>
      <c r="B136" s="1">
        <v>2016</v>
      </c>
      <c r="C136" s="1" t="s">
        <v>48</v>
      </c>
      <c r="D136" s="8">
        <f>DATEVALUE(Main[[#This Row],[Month]]&amp;Main[[#This Row],[Year]])</f>
        <v>42614</v>
      </c>
      <c r="E136" s="1">
        <v>129.9</v>
      </c>
      <c r="F136" s="1">
        <v>138</v>
      </c>
      <c r="G136" s="1">
        <v>130.5</v>
      </c>
      <c r="H136" s="1">
        <v>134.4</v>
      </c>
      <c r="I136" s="1">
        <v>117.2</v>
      </c>
      <c r="J136" s="1">
        <v>136.1</v>
      </c>
      <c r="K136" s="1">
        <v>150.69999999999999</v>
      </c>
      <c r="L136" s="1">
        <v>171.5</v>
      </c>
      <c r="M136" s="1">
        <v>113.8</v>
      </c>
      <c r="N136" s="1">
        <v>138.80000000000001</v>
      </c>
      <c r="O136" s="1">
        <v>126</v>
      </c>
      <c r="P136" s="1">
        <v>140.19999999999999</v>
      </c>
      <c r="Q136" s="1">
        <v>136.6</v>
      </c>
      <c r="R136" s="1">
        <v>141</v>
      </c>
      <c r="S136" s="1">
        <v>134.6</v>
      </c>
      <c r="T136" s="1">
        <v>128.6</v>
      </c>
      <c r="U136" s="1">
        <v>133.80000000000001</v>
      </c>
      <c r="V136" s="1">
        <v>127.9</v>
      </c>
      <c r="W136" s="1">
        <v>124.1</v>
      </c>
      <c r="X136" s="1">
        <v>127.9</v>
      </c>
      <c r="Y136" s="1">
        <v>125.4</v>
      </c>
      <c r="Z136" s="1">
        <v>114.3</v>
      </c>
      <c r="AA136" s="1">
        <v>122.9</v>
      </c>
      <c r="AB136" s="1">
        <v>131.80000000000001</v>
      </c>
      <c r="AC136" s="1">
        <v>122.1</v>
      </c>
      <c r="AD136" s="1">
        <v>122.8</v>
      </c>
      <c r="AE136" s="1">
        <v>130.9</v>
      </c>
      <c r="AF136" s="6">
        <f t="shared" si="8"/>
        <v>135.66923076923075</v>
      </c>
      <c r="AG136" s="6">
        <f t="shared" si="9"/>
        <v>128.9</v>
      </c>
      <c r="AH136" s="6">
        <f t="shared" si="10"/>
        <v>132.33333333333334</v>
      </c>
      <c r="AI136" s="6">
        <f t="shared" si="11"/>
        <v>125.2</v>
      </c>
      <c r="AJ136" s="6">
        <f>IFERROR(AVERAGE(Main[[#This Row],[Health]],Main[[#This Row],[Personal care and effects]]),"NA")</f>
        <v>123.75</v>
      </c>
    </row>
    <row r="137" spans="1:36" ht="13.2" x14ac:dyDescent="0.25">
      <c r="A137" s="1" t="s">
        <v>36</v>
      </c>
      <c r="B137" s="1">
        <v>2016</v>
      </c>
      <c r="C137" s="1" t="s">
        <v>49</v>
      </c>
      <c r="D137" s="8">
        <f>DATEVALUE(Main[[#This Row],[Month]]&amp;Main[[#This Row],[Year]])</f>
        <v>42644</v>
      </c>
      <c r="E137" s="1">
        <v>131.30000000000001</v>
      </c>
      <c r="F137" s="1">
        <v>137.6</v>
      </c>
      <c r="G137" s="1">
        <v>130.1</v>
      </c>
      <c r="H137" s="1">
        <v>136</v>
      </c>
      <c r="I137" s="1">
        <v>120.8</v>
      </c>
      <c r="J137" s="1">
        <v>138.4</v>
      </c>
      <c r="K137" s="1">
        <v>149.19999999999999</v>
      </c>
      <c r="L137" s="1">
        <v>170.2</v>
      </c>
      <c r="M137" s="1">
        <v>113.4</v>
      </c>
      <c r="N137" s="1">
        <v>136.30000000000001</v>
      </c>
      <c r="O137" s="1">
        <v>128.69999999999999</v>
      </c>
      <c r="P137" s="1">
        <v>142.4</v>
      </c>
      <c r="Q137" s="1">
        <v>137.4</v>
      </c>
      <c r="R137" s="1">
        <v>140.9</v>
      </c>
      <c r="S137" s="1">
        <v>139.6</v>
      </c>
      <c r="T137" s="1">
        <v>134.30000000000001</v>
      </c>
      <c r="U137" s="1">
        <v>138.80000000000001</v>
      </c>
      <c r="V137" s="1" t="s">
        <v>38</v>
      </c>
      <c r="W137" s="1">
        <v>129.80000000000001</v>
      </c>
      <c r="X137" s="1">
        <v>131.80000000000001</v>
      </c>
      <c r="Y137" s="1">
        <v>128.69999999999999</v>
      </c>
      <c r="Z137" s="1">
        <v>117.8</v>
      </c>
      <c r="AA137" s="1">
        <v>126.5</v>
      </c>
      <c r="AB137" s="1">
        <v>133</v>
      </c>
      <c r="AC137" s="1">
        <v>123</v>
      </c>
      <c r="AD137" s="1">
        <v>125.7</v>
      </c>
      <c r="AE137" s="1">
        <v>133.80000000000001</v>
      </c>
      <c r="AF137" s="6">
        <f t="shared" si="8"/>
        <v>136.2923076923077</v>
      </c>
      <c r="AG137" s="6">
        <f t="shared" si="9"/>
        <v>131.03333333333333</v>
      </c>
      <c r="AH137" s="6">
        <f t="shared" si="10"/>
        <v>137.56666666666666</v>
      </c>
      <c r="AI137" s="6">
        <f t="shared" si="11"/>
        <v>128.10000000000002</v>
      </c>
      <c r="AJ137" s="6">
        <f>IFERROR(AVERAGE(Main[[#This Row],[Health]],Main[[#This Row],[Personal care and effects]]),"NA")</f>
        <v>125.85</v>
      </c>
    </row>
    <row r="138" spans="1:36" ht="13.2" x14ac:dyDescent="0.25">
      <c r="A138" s="1" t="s">
        <v>39</v>
      </c>
      <c r="B138" s="1">
        <v>2016</v>
      </c>
      <c r="C138" s="1" t="s">
        <v>49</v>
      </c>
      <c r="D138" s="8">
        <f>DATEVALUE(Main[[#This Row],[Month]]&amp;Main[[#This Row],[Year]])</f>
        <v>42644</v>
      </c>
      <c r="E138" s="1">
        <v>128.69999999999999</v>
      </c>
      <c r="F138" s="1">
        <v>138.4</v>
      </c>
      <c r="G138" s="1">
        <v>130.30000000000001</v>
      </c>
      <c r="H138" s="1">
        <v>132.69999999999999</v>
      </c>
      <c r="I138" s="1">
        <v>112.5</v>
      </c>
      <c r="J138" s="1">
        <v>130.4</v>
      </c>
      <c r="K138" s="1">
        <v>155.1</v>
      </c>
      <c r="L138" s="1">
        <v>175.7</v>
      </c>
      <c r="M138" s="1">
        <v>115.4</v>
      </c>
      <c r="N138" s="1">
        <v>145.30000000000001</v>
      </c>
      <c r="O138" s="1">
        <v>122.5</v>
      </c>
      <c r="P138" s="1">
        <v>139.6</v>
      </c>
      <c r="Q138" s="1">
        <v>136.30000000000001</v>
      </c>
      <c r="R138" s="1">
        <v>144.30000000000001</v>
      </c>
      <c r="S138" s="1">
        <v>129.1</v>
      </c>
      <c r="T138" s="1">
        <v>121.9</v>
      </c>
      <c r="U138" s="1">
        <v>128</v>
      </c>
      <c r="V138" s="1">
        <v>128.69999999999999</v>
      </c>
      <c r="W138" s="1">
        <v>115.2</v>
      </c>
      <c r="X138" s="1">
        <v>124.5</v>
      </c>
      <c r="Y138" s="1">
        <v>121.8</v>
      </c>
      <c r="Z138" s="1">
        <v>112.8</v>
      </c>
      <c r="AA138" s="1">
        <v>121.2</v>
      </c>
      <c r="AB138" s="1">
        <v>131.9</v>
      </c>
      <c r="AC138" s="1">
        <v>120.8</v>
      </c>
      <c r="AD138" s="1">
        <v>120.9</v>
      </c>
      <c r="AE138" s="1">
        <v>128.6</v>
      </c>
      <c r="AF138" s="6">
        <f t="shared" si="8"/>
        <v>135.6076923076923</v>
      </c>
      <c r="AG138" s="6">
        <f t="shared" si="9"/>
        <v>128.79999999999998</v>
      </c>
      <c r="AH138" s="6">
        <f t="shared" si="10"/>
        <v>126.33333333333333</v>
      </c>
      <c r="AI138" s="6">
        <f t="shared" si="11"/>
        <v>122.62</v>
      </c>
      <c r="AJ138" s="6">
        <f>IFERROR(AVERAGE(Main[[#This Row],[Health]],Main[[#This Row],[Personal care and effects]]),"NA")</f>
        <v>121.3</v>
      </c>
    </row>
    <row r="139" spans="1:36" ht="13.2" x14ac:dyDescent="0.25">
      <c r="A139" s="1" t="s">
        <v>40</v>
      </c>
      <c r="B139" s="1">
        <v>2016</v>
      </c>
      <c r="C139" s="1" t="s">
        <v>49</v>
      </c>
      <c r="D139" s="8">
        <f>DATEVALUE(Main[[#This Row],[Month]]&amp;Main[[#This Row],[Year]])</f>
        <v>42644</v>
      </c>
      <c r="E139" s="1">
        <v>130.5</v>
      </c>
      <c r="F139" s="1">
        <v>137.9</v>
      </c>
      <c r="G139" s="1">
        <v>130.19999999999999</v>
      </c>
      <c r="H139" s="1">
        <v>134.80000000000001</v>
      </c>
      <c r="I139" s="1">
        <v>117.8</v>
      </c>
      <c r="J139" s="1">
        <v>134.69999999999999</v>
      </c>
      <c r="K139" s="1">
        <v>151.19999999999999</v>
      </c>
      <c r="L139" s="1">
        <v>172.1</v>
      </c>
      <c r="M139" s="1">
        <v>114.1</v>
      </c>
      <c r="N139" s="1">
        <v>139.30000000000001</v>
      </c>
      <c r="O139" s="1">
        <v>126.1</v>
      </c>
      <c r="P139" s="1">
        <v>141.1</v>
      </c>
      <c r="Q139" s="1">
        <v>137</v>
      </c>
      <c r="R139" s="1">
        <v>141.80000000000001</v>
      </c>
      <c r="S139" s="1">
        <v>135.5</v>
      </c>
      <c r="T139" s="1">
        <v>129.1</v>
      </c>
      <c r="U139" s="1">
        <v>134.5</v>
      </c>
      <c r="V139" s="1">
        <v>128.69999999999999</v>
      </c>
      <c r="W139" s="1">
        <v>124.3</v>
      </c>
      <c r="X139" s="1">
        <v>128.4</v>
      </c>
      <c r="Y139" s="1">
        <v>126.1</v>
      </c>
      <c r="Z139" s="1">
        <v>115.2</v>
      </c>
      <c r="AA139" s="1">
        <v>123.5</v>
      </c>
      <c r="AB139" s="1">
        <v>132.4</v>
      </c>
      <c r="AC139" s="1">
        <v>122.1</v>
      </c>
      <c r="AD139" s="1">
        <v>123.4</v>
      </c>
      <c r="AE139" s="1">
        <v>131.4</v>
      </c>
      <c r="AF139" s="6">
        <f t="shared" si="8"/>
        <v>135.90769230769226</v>
      </c>
      <c r="AG139" s="6">
        <f t="shared" si="9"/>
        <v>129.56666666666669</v>
      </c>
      <c r="AH139" s="6">
        <f t="shared" si="10"/>
        <v>133.03333333333333</v>
      </c>
      <c r="AI139" s="6">
        <f t="shared" si="11"/>
        <v>125.8</v>
      </c>
      <c r="AJ139" s="6">
        <f>IFERROR(AVERAGE(Main[[#This Row],[Health]],Main[[#This Row],[Personal care and effects]]),"NA")</f>
        <v>124.1</v>
      </c>
    </row>
    <row r="140" spans="1:36" ht="13.2" x14ac:dyDescent="0.25">
      <c r="A140" s="1" t="s">
        <v>36</v>
      </c>
      <c r="B140" s="1">
        <v>2016</v>
      </c>
      <c r="C140" s="1" t="s">
        <v>50</v>
      </c>
      <c r="D140" s="8">
        <f>DATEVALUE(Main[[#This Row],[Month]]&amp;Main[[#This Row],[Year]])</f>
        <v>42675</v>
      </c>
      <c r="E140" s="1">
        <v>132</v>
      </c>
      <c r="F140" s="1">
        <v>137.4</v>
      </c>
      <c r="G140" s="1">
        <v>130.6</v>
      </c>
      <c r="H140" s="1">
        <v>136.19999999999999</v>
      </c>
      <c r="I140" s="1">
        <v>121.1</v>
      </c>
      <c r="J140" s="1">
        <v>136.9</v>
      </c>
      <c r="K140" s="1">
        <v>141.80000000000001</v>
      </c>
      <c r="L140" s="1">
        <v>170</v>
      </c>
      <c r="M140" s="1">
        <v>113.4</v>
      </c>
      <c r="N140" s="1">
        <v>136.80000000000001</v>
      </c>
      <c r="O140" s="1">
        <v>128.69999999999999</v>
      </c>
      <c r="P140" s="1">
        <v>143.1</v>
      </c>
      <c r="Q140" s="1">
        <v>136.6</v>
      </c>
      <c r="R140" s="1">
        <v>141.19999999999999</v>
      </c>
      <c r="S140" s="1">
        <v>139.9</v>
      </c>
      <c r="T140" s="1">
        <v>134.5</v>
      </c>
      <c r="U140" s="1">
        <v>139.19999999999999</v>
      </c>
      <c r="V140" s="1" t="s">
        <v>38</v>
      </c>
      <c r="W140" s="1">
        <v>130.30000000000001</v>
      </c>
      <c r="X140" s="1">
        <v>132.1</v>
      </c>
      <c r="Y140" s="1">
        <v>129.1</v>
      </c>
      <c r="Z140" s="1">
        <v>118.2</v>
      </c>
      <c r="AA140" s="1">
        <v>126.9</v>
      </c>
      <c r="AB140" s="1">
        <v>133.69999999999999</v>
      </c>
      <c r="AC140" s="1">
        <v>123.5</v>
      </c>
      <c r="AD140" s="1">
        <v>126.1</v>
      </c>
      <c r="AE140" s="1">
        <v>133.6</v>
      </c>
      <c r="AF140" s="6">
        <f t="shared" si="8"/>
        <v>135.73846153846154</v>
      </c>
      <c r="AG140" s="6">
        <f t="shared" si="9"/>
        <v>131.4</v>
      </c>
      <c r="AH140" s="6">
        <f t="shared" si="10"/>
        <v>137.86666666666665</v>
      </c>
      <c r="AI140" s="6">
        <f t="shared" si="11"/>
        <v>128.57499999999999</v>
      </c>
      <c r="AJ140" s="6">
        <f>IFERROR(AVERAGE(Main[[#This Row],[Health]],Main[[#This Row],[Personal care and effects]]),"NA")</f>
        <v>126.3</v>
      </c>
    </row>
    <row r="141" spans="1:36" ht="13.2" x14ac:dyDescent="0.25">
      <c r="A141" s="1" t="s">
        <v>39</v>
      </c>
      <c r="B141" s="1">
        <v>2016</v>
      </c>
      <c r="C141" s="1" t="s">
        <v>50</v>
      </c>
      <c r="D141" s="8">
        <f>DATEVALUE(Main[[#This Row],[Month]]&amp;Main[[#This Row],[Year]])</f>
        <v>42675</v>
      </c>
      <c r="E141" s="1">
        <v>130.19999999999999</v>
      </c>
      <c r="F141" s="1">
        <v>138.5</v>
      </c>
      <c r="G141" s="1">
        <v>134.1</v>
      </c>
      <c r="H141" s="1">
        <v>132.9</v>
      </c>
      <c r="I141" s="1">
        <v>112.6</v>
      </c>
      <c r="J141" s="1">
        <v>130.80000000000001</v>
      </c>
      <c r="K141" s="1">
        <v>142</v>
      </c>
      <c r="L141" s="1">
        <v>174.9</v>
      </c>
      <c r="M141" s="1">
        <v>115.6</v>
      </c>
      <c r="N141" s="1">
        <v>145.4</v>
      </c>
      <c r="O141" s="1">
        <v>122.7</v>
      </c>
      <c r="P141" s="1">
        <v>140.30000000000001</v>
      </c>
      <c r="Q141" s="1">
        <v>135.19999999999999</v>
      </c>
      <c r="R141" s="1">
        <v>144.30000000000001</v>
      </c>
      <c r="S141" s="1">
        <v>129.6</v>
      </c>
      <c r="T141" s="1">
        <v>122.1</v>
      </c>
      <c r="U141" s="1">
        <v>128.5</v>
      </c>
      <c r="V141" s="1">
        <v>129.1</v>
      </c>
      <c r="W141" s="1">
        <v>116.2</v>
      </c>
      <c r="X141" s="1">
        <v>124.7</v>
      </c>
      <c r="Y141" s="1">
        <v>122.1</v>
      </c>
      <c r="Z141" s="1">
        <v>113.4</v>
      </c>
      <c r="AA141" s="1">
        <v>121.7</v>
      </c>
      <c r="AB141" s="1">
        <v>132.1</v>
      </c>
      <c r="AC141" s="1">
        <v>121.3</v>
      </c>
      <c r="AD141" s="1">
        <v>121.3</v>
      </c>
      <c r="AE141" s="1">
        <v>128.5</v>
      </c>
      <c r="AF141" s="6">
        <f t="shared" si="8"/>
        <v>135.01538461538462</v>
      </c>
      <c r="AG141" s="6">
        <f t="shared" si="9"/>
        <v>129.1</v>
      </c>
      <c r="AH141" s="6">
        <f t="shared" si="10"/>
        <v>126.73333333333333</v>
      </c>
      <c r="AI141" s="6">
        <f t="shared" si="11"/>
        <v>123.1</v>
      </c>
      <c r="AJ141" s="6">
        <f>IFERROR(AVERAGE(Main[[#This Row],[Health]],Main[[#This Row],[Personal care and effects]]),"NA")</f>
        <v>121.69999999999999</v>
      </c>
    </row>
    <row r="142" spans="1:36" ht="13.2" x14ac:dyDescent="0.25">
      <c r="A142" s="1" t="s">
        <v>40</v>
      </c>
      <c r="B142" s="1">
        <v>2016</v>
      </c>
      <c r="C142" s="1" t="s">
        <v>50</v>
      </c>
      <c r="D142" s="8">
        <f>DATEVALUE(Main[[#This Row],[Month]]&amp;Main[[#This Row],[Year]])</f>
        <v>42675</v>
      </c>
      <c r="E142" s="1">
        <v>131.4</v>
      </c>
      <c r="F142" s="1">
        <v>137.80000000000001</v>
      </c>
      <c r="G142" s="1">
        <v>132</v>
      </c>
      <c r="H142" s="1">
        <v>135</v>
      </c>
      <c r="I142" s="1">
        <v>118</v>
      </c>
      <c r="J142" s="1">
        <v>134.1</v>
      </c>
      <c r="K142" s="1">
        <v>141.9</v>
      </c>
      <c r="L142" s="1">
        <v>171.7</v>
      </c>
      <c r="M142" s="1">
        <v>114.1</v>
      </c>
      <c r="N142" s="1">
        <v>139.69999999999999</v>
      </c>
      <c r="O142" s="1">
        <v>126.2</v>
      </c>
      <c r="P142" s="1">
        <v>141.80000000000001</v>
      </c>
      <c r="Q142" s="1">
        <v>136.1</v>
      </c>
      <c r="R142" s="1">
        <v>142</v>
      </c>
      <c r="S142" s="1">
        <v>135.80000000000001</v>
      </c>
      <c r="T142" s="1">
        <v>129.30000000000001</v>
      </c>
      <c r="U142" s="1">
        <v>135</v>
      </c>
      <c r="V142" s="1">
        <v>129.1</v>
      </c>
      <c r="W142" s="1">
        <v>125</v>
      </c>
      <c r="X142" s="1">
        <v>128.6</v>
      </c>
      <c r="Y142" s="1">
        <v>126.4</v>
      </c>
      <c r="Z142" s="1">
        <v>115.7</v>
      </c>
      <c r="AA142" s="1">
        <v>124</v>
      </c>
      <c r="AB142" s="1">
        <v>132.80000000000001</v>
      </c>
      <c r="AC142" s="1">
        <v>122.6</v>
      </c>
      <c r="AD142" s="1">
        <v>123.8</v>
      </c>
      <c r="AE142" s="1">
        <v>131.19999999999999</v>
      </c>
      <c r="AF142" s="6">
        <f t="shared" si="8"/>
        <v>135.36923076923077</v>
      </c>
      <c r="AG142" s="6">
        <f t="shared" si="9"/>
        <v>129.93333333333334</v>
      </c>
      <c r="AH142" s="6">
        <f t="shared" si="10"/>
        <v>133.36666666666667</v>
      </c>
      <c r="AI142" s="6">
        <f t="shared" si="11"/>
        <v>126.24000000000001</v>
      </c>
      <c r="AJ142" s="6">
        <f>IFERROR(AVERAGE(Main[[#This Row],[Health]],Main[[#This Row],[Personal care and effects]]),"NA")</f>
        <v>124.5</v>
      </c>
    </row>
    <row r="143" spans="1:36" ht="13.2" x14ac:dyDescent="0.25">
      <c r="A143" s="1" t="s">
        <v>36</v>
      </c>
      <c r="B143" s="1">
        <v>2016</v>
      </c>
      <c r="C143" s="1" t="s">
        <v>51</v>
      </c>
      <c r="D143" s="8">
        <f>DATEVALUE(Main[[#This Row],[Month]]&amp;Main[[#This Row],[Year]])</f>
        <v>42705</v>
      </c>
      <c r="E143" s="1">
        <v>132.6</v>
      </c>
      <c r="F143" s="1">
        <v>137.30000000000001</v>
      </c>
      <c r="G143" s="1">
        <v>131.6</v>
      </c>
      <c r="H143" s="1">
        <v>136.30000000000001</v>
      </c>
      <c r="I143" s="1">
        <v>121.6</v>
      </c>
      <c r="J143" s="1">
        <v>135.6</v>
      </c>
      <c r="K143" s="1">
        <v>127.5</v>
      </c>
      <c r="L143" s="1">
        <v>167.9</v>
      </c>
      <c r="M143" s="1">
        <v>113.8</v>
      </c>
      <c r="N143" s="1">
        <v>137.5</v>
      </c>
      <c r="O143" s="1">
        <v>129.1</v>
      </c>
      <c r="P143" s="1">
        <v>143.6</v>
      </c>
      <c r="Q143" s="1">
        <v>134.69999999999999</v>
      </c>
      <c r="R143" s="1">
        <v>142.4</v>
      </c>
      <c r="S143" s="1">
        <v>140.4</v>
      </c>
      <c r="T143" s="1">
        <v>135.19999999999999</v>
      </c>
      <c r="U143" s="1">
        <v>139.69999999999999</v>
      </c>
      <c r="V143" s="1" t="s">
        <v>38</v>
      </c>
      <c r="W143" s="1">
        <v>132</v>
      </c>
      <c r="X143" s="1">
        <v>132.9</v>
      </c>
      <c r="Y143" s="1">
        <v>129.69999999999999</v>
      </c>
      <c r="Z143" s="1">
        <v>118.6</v>
      </c>
      <c r="AA143" s="1">
        <v>127.3</v>
      </c>
      <c r="AB143" s="1">
        <v>134.19999999999999</v>
      </c>
      <c r="AC143" s="1">
        <v>121.9</v>
      </c>
      <c r="AD143" s="1">
        <v>126.3</v>
      </c>
      <c r="AE143" s="1">
        <v>132.80000000000001</v>
      </c>
      <c r="AF143" s="6">
        <f t="shared" si="8"/>
        <v>134.54615384615383</v>
      </c>
      <c r="AG143" s="6">
        <f t="shared" si="9"/>
        <v>132</v>
      </c>
      <c r="AH143" s="6">
        <f t="shared" si="10"/>
        <v>138.43333333333334</v>
      </c>
      <c r="AI143" s="6">
        <f t="shared" si="11"/>
        <v>129.42500000000001</v>
      </c>
      <c r="AJ143" s="6">
        <f>IFERROR(AVERAGE(Main[[#This Row],[Health]],Main[[#This Row],[Personal care and effects]]),"NA")</f>
        <v>125.8</v>
      </c>
    </row>
    <row r="144" spans="1:36" ht="13.2" x14ac:dyDescent="0.25">
      <c r="A144" s="1" t="s">
        <v>39</v>
      </c>
      <c r="B144" s="1">
        <v>2016</v>
      </c>
      <c r="C144" s="1" t="s">
        <v>51</v>
      </c>
      <c r="D144" s="8">
        <f>DATEVALUE(Main[[#This Row],[Month]]&amp;Main[[#This Row],[Year]])</f>
        <v>42705</v>
      </c>
      <c r="E144" s="1">
        <v>131.6</v>
      </c>
      <c r="F144" s="1">
        <v>138.19999999999999</v>
      </c>
      <c r="G144" s="1">
        <v>134.9</v>
      </c>
      <c r="H144" s="1">
        <v>133.1</v>
      </c>
      <c r="I144" s="1">
        <v>113.5</v>
      </c>
      <c r="J144" s="1">
        <v>129.30000000000001</v>
      </c>
      <c r="K144" s="1">
        <v>121.1</v>
      </c>
      <c r="L144" s="1">
        <v>170.3</v>
      </c>
      <c r="M144" s="1">
        <v>115.5</v>
      </c>
      <c r="N144" s="1">
        <v>145.5</v>
      </c>
      <c r="O144" s="1">
        <v>123.1</v>
      </c>
      <c r="P144" s="1">
        <v>140.9</v>
      </c>
      <c r="Q144" s="1">
        <v>132.80000000000001</v>
      </c>
      <c r="R144" s="1">
        <v>145</v>
      </c>
      <c r="S144" s="1">
        <v>130</v>
      </c>
      <c r="T144" s="1">
        <v>122.2</v>
      </c>
      <c r="U144" s="1">
        <v>128.80000000000001</v>
      </c>
      <c r="V144" s="1">
        <v>128.5</v>
      </c>
      <c r="W144" s="1">
        <v>117.8</v>
      </c>
      <c r="X144" s="1">
        <v>125</v>
      </c>
      <c r="Y144" s="1">
        <v>122.3</v>
      </c>
      <c r="Z144" s="1">
        <v>113.7</v>
      </c>
      <c r="AA144" s="1">
        <v>121.8</v>
      </c>
      <c r="AB144" s="1">
        <v>132.30000000000001</v>
      </c>
      <c r="AC144" s="1">
        <v>119.9</v>
      </c>
      <c r="AD144" s="1">
        <v>121.4</v>
      </c>
      <c r="AE144" s="1">
        <v>127.6</v>
      </c>
      <c r="AF144" s="6">
        <f t="shared" si="8"/>
        <v>133.06153846153845</v>
      </c>
      <c r="AG144" s="6">
        <f t="shared" si="9"/>
        <v>129.4</v>
      </c>
      <c r="AH144" s="6">
        <f t="shared" si="10"/>
        <v>127</v>
      </c>
      <c r="AI144" s="6">
        <f t="shared" si="11"/>
        <v>123.46</v>
      </c>
      <c r="AJ144" s="6">
        <f>IFERROR(AVERAGE(Main[[#This Row],[Health]],Main[[#This Row],[Personal care and effects]]),"NA")</f>
        <v>121.1</v>
      </c>
    </row>
    <row r="145" spans="1:36" ht="13.2" x14ac:dyDescent="0.25">
      <c r="A145" s="1" t="s">
        <v>40</v>
      </c>
      <c r="B145" s="1">
        <v>2016</v>
      </c>
      <c r="C145" s="1" t="s">
        <v>51</v>
      </c>
      <c r="D145" s="8">
        <f>DATEVALUE(Main[[#This Row],[Month]]&amp;Main[[#This Row],[Year]])</f>
        <v>42705</v>
      </c>
      <c r="E145" s="1">
        <v>132.30000000000001</v>
      </c>
      <c r="F145" s="1">
        <v>137.6</v>
      </c>
      <c r="G145" s="1">
        <v>132.9</v>
      </c>
      <c r="H145" s="1">
        <v>135.1</v>
      </c>
      <c r="I145" s="1">
        <v>118.6</v>
      </c>
      <c r="J145" s="1">
        <v>132.69999999999999</v>
      </c>
      <c r="K145" s="1">
        <v>125.3</v>
      </c>
      <c r="L145" s="1">
        <v>168.7</v>
      </c>
      <c r="M145" s="1">
        <v>114.4</v>
      </c>
      <c r="N145" s="1">
        <v>140.19999999999999</v>
      </c>
      <c r="O145" s="1">
        <v>126.6</v>
      </c>
      <c r="P145" s="1">
        <v>142.30000000000001</v>
      </c>
      <c r="Q145" s="1">
        <v>134</v>
      </c>
      <c r="R145" s="1">
        <v>143.1</v>
      </c>
      <c r="S145" s="1">
        <v>136.30000000000001</v>
      </c>
      <c r="T145" s="1">
        <v>129.80000000000001</v>
      </c>
      <c r="U145" s="1">
        <v>135.4</v>
      </c>
      <c r="V145" s="1">
        <v>128.5</v>
      </c>
      <c r="W145" s="1">
        <v>126.6</v>
      </c>
      <c r="X145" s="1">
        <v>129.19999999999999</v>
      </c>
      <c r="Y145" s="1">
        <v>126.9</v>
      </c>
      <c r="Z145" s="1">
        <v>116</v>
      </c>
      <c r="AA145" s="1">
        <v>124.2</v>
      </c>
      <c r="AB145" s="1">
        <v>133.1</v>
      </c>
      <c r="AC145" s="1">
        <v>121.1</v>
      </c>
      <c r="AD145" s="1">
        <v>123.9</v>
      </c>
      <c r="AE145" s="1">
        <v>130.4</v>
      </c>
      <c r="AF145" s="6">
        <f t="shared" si="8"/>
        <v>133.9</v>
      </c>
      <c r="AG145" s="6">
        <f t="shared" si="9"/>
        <v>130.4</v>
      </c>
      <c r="AH145" s="6">
        <f t="shared" si="10"/>
        <v>133.83333333333334</v>
      </c>
      <c r="AI145" s="6">
        <f t="shared" si="11"/>
        <v>126.67999999999999</v>
      </c>
      <c r="AJ145" s="6">
        <f>IFERROR(AVERAGE(Main[[#This Row],[Health]],Main[[#This Row],[Personal care and effects]]),"NA")</f>
        <v>124</v>
      </c>
    </row>
    <row r="146" spans="1:36" ht="13.2" x14ac:dyDescent="0.25">
      <c r="A146" s="1" t="s">
        <v>36</v>
      </c>
      <c r="B146" s="1">
        <v>2017</v>
      </c>
      <c r="C146" s="1" t="s">
        <v>37</v>
      </c>
      <c r="D146" s="8">
        <f>DATEVALUE(Main[[#This Row],[Month]]&amp;Main[[#This Row],[Year]])</f>
        <v>42736</v>
      </c>
      <c r="E146" s="1">
        <v>133.1</v>
      </c>
      <c r="F146" s="1">
        <v>137.80000000000001</v>
      </c>
      <c r="G146" s="1">
        <v>131.9</v>
      </c>
      <c r="H146" s="1">
        <v>136.69999999999999</v>
      </c>
      <c r="I146" s="1">
        <v>122</v>
      </c>
      <c r="J146" s="1">
        <v>136</v>
      </c>
      <c r="K146" s="1">
        <v>119.8</v>
      </c>
      <c r="L146" s="1">
        <v>161.69999999999999</v>
      </c>
      <c r="M146" s="1">
        <v>114.8</v>
      </c>
      <c r="N146" s="1">
        <v>136.9</v>
      </c>
      <c r="O146" s="1">
        <v>129</v>
      </c>
      <c r="P146" s="1">
        <v>143.9</v>
      </c>
      <c r="Q146" s="1">
        <v>133.69999999999999</v>
      </c>
      <c r="R146" s="1">
        <v>143.1</v>
      </c>
      <c r="S146" s="1">
        <v>140.69999999999999</v>
      </c>
      <c r="T146" s="1">
        <v>135.80000000000001</v>
      </c>
      <c r="U146" s="1">
        <v>140</v>
      </c>
      <c r="V146" s="1" t="s">
        <v>38</v>
      </c>
      <c r="W146" s="1">
        <v>132.1</v>
      </c>
      <c r="X146" s="1">
        <v>133.19999999999999</v>
      </c>
      <c r="Y146" s="1">
        <v>129.9</v>
      </c>
      <c r="Z146" s="1">
        <v>119.1</v>
      </c>
      <c r="AA146" s="1">
        <v>127</v>
      </c>
      <c r="AB146" s="1">
        <v>134.6</v>
      </c>
      <c r="AC146" s="1">
        <v>122.3</v>
      </c>
      <c r="AD146" s="1">
        <v>126.6</v>
      </c>
      <c r="AE146" s="1">
        <v>132.4</v>
      </c>
      <c r="AF146" s="6">
        <f t="shared" si="8"/>
        <v>133.63846153846154</v>
      </c>
      <c r="AG146" s="6">
        <f t="shared" si="9"/>
        <v>132.23333333333335</v>
      </c>
      <c r="AH146" s="6">
        <f t="shared" si="10"/>
        <v>138.83333333333334</v>
      </c>
      <c r="AI146" s="6">
        <f t="shared" si="11"/>
        <v>129.75</v>
      </c>
      <c r="AJ146" s="6">
        <f>IFERROR(AVERAGE(Main[[#This Row],[Health]],Main[[#This Row],[Personal care and effects]]),"NA")</f>
        <v>126.1</v>
      </c>
    </row>
    <row r="147" spans="1:36" ht="13.2" x14ac:dyDescent="0.25">
      <c r="A147" s="1" t="s">
        <v>39</v>
      </c>
      <c r="B147" s="1">
        <v>2017</v>
      </c>
      <c r="C147" s="1" t="s">
        <v>37</v>
      </c>
      <c r="D147" s="8">
        <f>DATEVALUE(Main[[#This Row],[Month]]&amp;Main[[#This Row],[Year]])</f>
        <v>42736</v>
      </c>
      <c r="E147" s="1">
        <v>132.19999999999999</v>
      </c>
      <c r="F147" s="1">
        <v>138.9</v>
      </c>
      <c r="G147" s="1">
        <v>132.6</v>
      </c>
      <c r="H147" s="1">
        <v>133.1</v>
      </c>
      <c r="I147" s="1">
        <v>114</v>
      </c>
      <c r="J147" s="1">
        <v>129.6</v>
      </c>
      <c r="K147" s="1">
        <v>118.7</v>
      </c>
      <c r="L147" s="1">
        <v>155.1</v>
      </c>
      <c r="M147" s="1">
        <v>117.3</v>
      </c>
      <c r="N147" s="1">
        <v>144.9</v>
      </c>
      <c r="O147" s="1">
        <v>123.2</v>
      </c>
      <c r="P147" s="1">
        <v>141.6</v>
      </c>
      <c r="Q147" s="1">
        <v>132</v>
      </c>
      <c r="R147" s="1">
        <v>145.6</v>
      </c>
      <c r="S147" s="1">
        <v>130.19999999999999</v>
      </c>
      <c r="T147" s="1">
        <v>122.3</v>
      </c>
      <c r="U147" s="1">
        <v>129</v>
      </c>
      <c r="V147" s="1">
        <v>129.6</v>
      </c>
      <c r="W147" s="1">
        <v>118</v>
      </c>
      <c r="X147" s="1">
        <v>125.1</v>
      </c>
      <c r="Y147" s="1">
        <v>122.6</v>
      </c>
      <c r="Z147" s="1">
        <v>115.2</v>
      </c>
      <c r="AA147" s="1">
        <v>122</v>
      </c>
      <c r="AB147" s="1">
        <v>132.4</v>
      </c>
      <c r="AC147" s="1">
        <v>120.9</v>
      </c>
      <c r="AD147" s="1">
        <v>122.1</v>
      </c>
      <c r="AE147" s="1">
        <v>127.8</v>
      </c>
      <c r="AF147" s="6">
        <f t="shared" si="8"/>
        <v>131.78461538461539</v>
      </c>
      <c r="AG147" s="6">
        <f t="shared" si="9"/>
        <v>129.9</v>
      </c>
      <c r="AH147" s="6">
        <f t="shared" si="10"/>
        <v>127.16666666666667</v>
      </c>
      <c r="AI147" s="6">
        <f t="shared" si="11"/>
        <v>124.05999999999999</v>
      </c>
      <c r="AJ147" s="6">
        <f>IFERROR(AVERAGE(Main[[#This Row],[Health]],Main[[#This Row],[Personal care and effects]]),"NA")</f>
        <v>121.75</v>
      </c>
    </row>
    <row r="148" spans="1:36" ht="13.2" x14ac:dyDescent="0.25">
      <c r="A148" s="1" t="s">
        <v>40</v>
      </c>
      <c r="B148" s="1">
        <v>2017</v>
      </c>
      <c r="C148" s="1" t="s">
        <v>37</v>
      </c>
      <c r="D148" s="8">
        <f>DATEVALUE(Main[[#This Row],[Month]]&amp;Main[[#This Row],[Year]])</f>
        <v>42736</v>
      </c>
      <c r="E148" s="1">
        <v>132.80000000000001</v>
      </c>
      <c r="F148" s="1">
        <v>138.19999999999999</v>
      </c>
      <c r="G148" s="1">
        <v>132.19999999999999</v>
      </c>
      <c r="H148" s="1">
        <v>135.4</v>
      </c>
      <c r="I148" s="1">
        <v>119.1</v>
      </c>
      <c r="J148" s="1">
        <v>133</v>
      </c>
      <c r="K148" s="1">
        <v>119.4</v>
      </c>
      <c r="L148" s="1">
        <v>159.5</v>
      </c>
      <c r="M148" s="1">
        <v>115.6</v>
      </c>
      <c r="N148" s="1">
        <v>139.6</v>
      </c>
      <c r="O148" s="1">
        <v>126.6</v>
      </c>
      <c r="P148" s="1">
        <v>142.80000000000001</v>
      </c>
      <c r="Q148" s="1">
        <v>133.1</v>
      </c>
      <c r="R148" s="1">
        <v>143.80000000000001</v>
      </c>
      <c r="S148" s="1">
        <v>136.6</v>
      </c>
      <c r="T148" s="1">
        <v>130.19999999999999</v>
      </c>
      <c r="U148" s="1">
        <v>135.6</v>
      </c>
      <c r="V148" s="1">
        <v>129.6</v>
      </c>
      <c r="W148" s="1">
        <v>126.8</v>
      </c>
      <c r="X148" s="1">
        <v>129.4</v>
      </c>
      <c r="Y148" s="1">
        <v>127.1</v>
      </c>
      <c r="Z148" s="1">
        <v>117</v>
      </c>
      <c r="AA148" s="1">
        <v>124.2</v>
      </c>
      <c r="AB148" s="1">
        <v>133.30000000000001</v>
      </c>
      <c r="AC148" s="1">
        <v>121.7</v>
      </c>
      <c r="AD148" s="1">
        <v>124.4</v>
      </c>
      <c r="AE148" s="1">
        <v>130.30000000000001</v>
      </c>
      <c r="AF148" s="6">
        <f t="shared" si="8"/>
        <v>132.86923076923074</v>
      </c>
      <c r="AG148" s="6">
        <f t="shared" si="9"/>
        <v>130.79999999999998</v>
      </c>
      <c r="AH148" s="6">
        <f t="shared" si="10"/>
        <v>134.13333333333333</v>
      </c>
      <c r="AI148" s="6">
        <f t="shared" si="11"/>
        <v>127.21999999999998</v>
      </c>
      <c r="AJ148" s="6">
        <f>IFERROR(AVERAGE(Main[[#This Row],[Health]],Main[[#This Row],[Personal care and effects]]),"NA")</f>
        <v>124.4</v>
      </c>
    </row>
    <row r="149" spans="1:36" ht="13.2" x14ac:dyDescent="0.25">
      <c r="A149" s="1" t="s">
        <v>36</v>
      </c>
      <c r="B149" s="1">
        <v>2017</v>
      </c>
      <c r="C149" s="1" t="s">
        <v>41</v>
      </c>
      <c r="D149" s="8">
        <f>DATEVALUE(Main[[#This Row],[Month]]&amp;Main[[#This Row],[Year]])</f>
        <v>42767</v>
      </c>
      <c r="E149" s="1">
        <v>133.30000000000001</v>
      </c>
      <c r="F149" s="1">
        <v>138.30000000000001</v>
      </c>
      <c r="G149" s="1">
        <v>129.30000000000001</v>
      </c>
      <c r="H149" s="1">
        <v>137.19999999999999</v>
      </c>
      <c r="I149" s="1">
        <v>122.1</v>
      </c>
      <c r="J149" s="1">
        <v>138.69999999999999</v>
      </c>
      <c r="K149" s="1">
        <v>119.1</v>
      </c>
      <c r="L149" s="1">
        <v>156.9</v>
      </c>
      <c r="M149" s="1">
        <v>116.2</v>
      </c>
      <c r="N149" s="1">
        <v>136</v>
      </c>
      <c r="O149" s="1">
        <v>129.4</v>
      </c>
      <c r="P149" s="1">
        <v>144.4</v>
      </c>
      <c r="Q149" s="1">
        <v>133.6</v>
      </c>
      <c r="R149" s="1">
        <v>143.69999999999999</v>
      </c>
      <c r="S149" s="1">
        <v>140.9</v>
      </c>
      <c r="T149" s="1">
        <v>135.80000000000001</v>
      </c>
      <c r="U149" s="1">
        <v>140.19999999999999</v>
      </c>
      <c r="V149" s="1" t="s">
        <v>38</v>
      </c>
      <c r="W149" s="1">
        <v>133.19999999999999</v>
      </c>
      <c r="X149" s="1">
        <v>133.6</v>
      </c>
      <c r="Y149" s="1">
        <v>130.1</v>
      </c>
      <c r="Z149" s="1">
        <v>119.5</v>
      </c>
      <c r="AA149" s="1">
        <v>127.7</v>
      </c>
      <c r="AB149" s="1">
        <v>134.9</v>
      </c>
      <c r="AC149" s="1">
        <v>123.2</v>
      </c>
      <c r="AD149" s="1">
        <v>127</v>
      </c>
      <c r="AE149" s="1">
        <v>132.6</v>
      </c>
      <c r="AF149" s="6">
        <f t="shared" si="8"/>
        <v>133.42307692307693</v>
      </c>
      <c r="AG149" s="6">
        <f t="shared" si="9"/>
        <v>132.79999999999998</v>
      </c>
      <c r="AH149" s="6">
        <f t="shared" si="10"/>
        <v>138.96666666666667</v>
      </c>
      <c r="AI149" s="6">
        <f t="shared" si="11"/>
        <v>130.29999999999998</v>
      </c>
      <c r="AJ149" s="6">
        <f>IFERROR(AVERAGE(Main[[#This Row],[Health]],Main[[#This Row],[Personal care and effects]]),"NA")</f>
        <v>126.65</v>
      </c>
    </row>
    <row r="150" spans="1:36" ht="13.2" x14ac:dyDescent="0.25">
      <c r="A150" s="1" t="s">
        <v>39</v>
      </c>
      <c r="B150" s="1">
        <v>2017</v>
      </c>
      <c r="C150" s="1" t="s">
        <v>41</v>
      </c>
      <c r="D150" s="8">
        <f>DATEVALUE(Main[[#This Row],[Month]]&amp;Main[[#This Row],[Year]])</f>
        <v>42767</v>
      </c>
      <c r="E150" s="1">
        <v>132.80000000000001</v>
      </c>
      <c r="F150" s="1">
        <v>139.80000000000001</v>
      </c>
      <c r="G150" s="1">
        <v>129.30000000000001</v>
      </c>
      <c r="H150" s="1">
        <v>133.5</v>
      </c>
      <c r="I150" s="1">
        <v>114.3</v>
      </c>
      <c r="J150" s="1">
        <v>131.4</v>
      </c>
      <c r="K150" s="1">
        <v>120.2</v>
      </c>
      <c r="L150" s="1">
        <v>143.1</v>
      </c>
      <c r="M150" s="1">
        <v>119.5</v>
      </c>
      <c r="N150" s="1">
        <v>144</v>
      </c>
      <c r="O150" s="1">
        <v>123.4</v>
      </c>
      <c r="P150" s="1">
        <v>141.9</v>
      </c>
      <c r="Q150" s="1">
        <v>132.1</v>
      </c>
      <c r="R150" s="1">
        <v>146.30000000000001</v>
      </c>
      <c r="S150" s="1">
        <v>130.5</v>
      </c>
      <c r="T150" s="1">
        <v>122.5</v>
      </c>
      <c r="U150" s="1">
        <v>129.30000000000001</v>
      </c>
      <c r="V150" s="1">
        <v>130.5</v>
      </c>
      <c r="W150" s="1">
        <v>119.2</v>
      </c>
      <c r="X150" s="1">
        <v>125.3</v>
      </c>
      <c r="Y150" s="1">
        <v>122.9</v>
      </c>
      <c r="Z150" s="1">
        <v>115.5</v>
      </c>
      <c r="AA150" s="1">
        <v>122.2</v>
      </c>
      <c r="AB150" s="1">
        <v>132.4</v>
      </c>
      <c r="AC150" s="1">
        <v>121.7</v>
      </c>
      <c r="AD150" s="1">
        <v>122.4</v>
      </c>
      <c r="AE150" s="1">
        <v>128.19999999999999</v>
      </c>
      <c r="AF150" s="6">
        <f t="shared" si="8"/>
        <v>131.17692307692309</v>
      </c>
      <c r="AG150" s="6">
        <f t="shared" si="9"/>
        <v>130.29999999999998</v>
      </c>
      <c r="AH150" s="6">
        <f t="shared" si="10"/>
        <v>127.43333333333334</v>
      </c>
      <c r="AI150" s="6">
        <f t="shared" si="11"/>
        <v>124.58</v>
      </c>
      <c r="AJ150" s="6">
        <f>IFERROR(AVERAGE(Main[[#This Row],[Health]],Main[[#This Row],[Personal care and effects]]),"NA")</f>
        <v>122.30000000000001</v>
      </c>
    </row>
    <row r="151" spans="1:36" ht="13.2" x14ac:dyDescent="0.25">
      <c r="A151" s="1" t="s">
        <v>40</v>
      </c>
      <c r="B151" s="1">
        <v>2017</v>
      </c>
      <c r="C151" s="1" t="s">
        <v>41</v>
      </c>
      <c r="D151" s="8">
        <f>DATEVALUE(Main[[#This Row],[Month]]&amp;Main[[#This Row],[Year]])</f>
        <v>42767</v>
      </c>
      <c r="E151" s="1">
        <v>133.1</v>
      </c>
      <c r="F151" s="1">
        <v>138.80000000000001</v>
      </c>
      <c r="G151" s="1">
        <v>129.30000000000001</v>
      </c>
      <c r="H151" s="1">
        <v>135.80000000000001</v>
      </c>
      <c r="I151" s="1">
        <v>119.2</v>
      </c>
      <c r="J151" s="1">
        <v>135.30000000000001</v>
      </c>
      <c r="K151" s="1">
        <v>119.5</v>
      </c>
      <c r="L151" s="1">
        <v>152.19999999999999</v>
      </c>
      <c r="M151" s="1">
        <v>117.3</v>
      </c>
      <c r="N151" s="1">
        <v>138.69999999999999</v>
      </c>
      <c r="O151" s="1">
        <v>126.9</v>
      </c>
      <c r="P151" s="1">
        <v>143.19999999999999</v>
      </c>
      <c r="Q151" s="1">
        <v>133</v>
      </c>
      <c r="R151" s="1">
        <v>144.4</v>
      </c>
      <c r="S151" s="1">
        <v>136.80000000000001</v>
      </c>
      <c r="T151" s="1">
        <v>130.30000000000001</v>
      </c>
      <c r="U151" s="1">
        <v>135.9</v>
      </c>
      <c r="V151" s="1">
        <v>130.5</v>
      </c>
      <c r="W151" s="1">
        <v>127.9</v>
      </c>
      <c r="X151" s="1">
        <v>129.69999999999999</v>
      </c>
      <c r="Y151" s="1">
        <v>127.4</v>
      </c>
      <c r="Z151" s="1">
        <v>117.4</v>
      </c>
      <c r="AA151" s="1">
        <v>124.6</v>
      </c>
      <c r="AB151" s="1">
        <v>133.4</v>
      </c>
      <c r="AC151" s="1">
        <v>122.6</v>
      </c>
      <c r="AD151" s="1">
        <v>124.8</v>
      </c>
      <c r="AE151" s="1">
        <v>130.6</v>
      </c>
      <c r="AF151" s="6">
        <f t="shared" si="8"/>
        <v>132.48461538461541</v>
      </c>
      <c r="AG151" s="6">
        <f t="shared" si="9"/>
        <v>131.26666666666668</v>
      </c>
      <c r="AH151" s="6">
        <f t="shared" si="10"/>
        <v>134.33333333333334</v>
      </c>
      <c r="AI151" s="6">
        <f t="shared" si="11"/>
        <v>127.78</v>
      </c>
      <c r="AJ151" s="6">
        <f>IFERROR(AVERAGE(Main[[#This Row],[Health]],Main[[#This Row],[Personal care and effects]]),"NA")</f>
        <v>125</v>
      </c>
    </row>
    <row r="152" spans="1:36" ht="13.2" x14ac:dyDescent="0.25">
      <c r="A152" s="1" t="s">
        <v>36</v>
      </c>
      <c r="B152" s="1">
        <v>2017</v>
      </c>
      <c r="C152" s="1" t="s">
        <v>42</v>
      </c>
      <c r="D152" s="8">
        <f>DATEVALUE(Main[[#This Row],[Month]]&amp;Main[[#This Row],[Year]])</f>
        <v>42795</v>
      </c>
      <c r="E152" s="1">
        <v>133.6</v>
      </c>
      <c r="F152" s="1">
        <v>138.80000000000001</v>
      </c>
      <c r="G152" s="1">
        <v>128.80000000000001</v>
      </c>
      <c r="H152" s="1">
        <v>137.19999999999999</v>
      </c>
      <c r="I152" s="1">
        <v>121.6</v>
      </c>
      <c r="J152" s="1">
        <v>139.69999999999999</v>
      </c>
      <c r="K152" s="1">
        <v>119.7</v>
      </c>
      <c r="L152" s="1">
        <v>148</v>
      </c>
      <c r="M152" s="1">
        <v>116.9</v>
      </c>
      <c r="N152" s="1">
        <v>135.6</v>
      </c>
      <c r="O152" s="1">
        <v>129.80000000000001</v>
      </c>
      <c r="P152" s="1">
        <v>145.4</v>
      </c>
      <c r="Q152" s="1">
        <v>133.4</v>
      </c>
      <c r="R152" s="1">
        <v>144.19999999999999</v>
      </c>
      <c r="S152" s="1">
        <v>141.6</v>
      </c>
      <c r="T152" s="1">
        <v>136.19999999999999</v>
      </c>
      <c r="U152" s="1">
        <v>140.80000000000001</v>
      </c>
      <c r="V152" s="1" t="s">
        <v>38</v>
      </c>
      <c r="W152" s="1">
        <v>134.19999999999999</v>
      </c>
      <c r="X152" s="1">
        <v>134.1</v>
      </c>
      <c r="Y152" s="1">
        <v>130.6</v>
      </c>
      <c r="Z152" s="1">
        <v>119.8</v>
      </c>
      <c r="AA152" s="1">
        <v>128.30000000000001</v>
      </c>
      <c r="AB152" s="1">
        <v>135.19999999999999</v>
      </c>
      <c r="AC152" s="1">
        <v>123.3</v>
      </c>
      <c r="AD152" s="1">
        <v>127.4</v>
      </c>
      <c r="AE152" s="1">
        <v>132.80000000000001</v>
      </c>
      <c r="AF152" s="6">
        <f t="shared" si="8"/>
        <v>132.96153846153848</v>
      </c>
      <c r="AG152" s="6">
        <f t="shared" si="9"/>
        <v>133.29999999999998</v>
      </c>
      <c r="AH152" s="6">
        <f t="shared" si="10"/>
        <v>139.53333333333333</v>
      </c>
      <c r="AI152" s="6">
        <f t="shared" si="11"/>
        <v>130.82499999999999</v>
      </c>
      <c r="AJ152" s="6">
        <f>IFERROR(AVERAGE(Main[[#This Row],[Health]],Main[[#This Row],[Personal care and effects]]),"NA")</f>
        <v>126.94999999999999</v>
      </c>
    </row>
    <row r="153" spans="1:36" ht="13.2" x14ac:dyDescent="0.25">
      <c r="A153" s="1" t="s">
        <v>39</v>
      </c>
      <c r="B153" s="1">
        <v>2017</v>
      </c>
      <c r="C153" s="1" t="s">
        <v>42</v>
      </c>
      <c r="D153" s="8">
        <f>DATEVALUE(Main[[#This Row],[Month]]&amp;Main[[#This Row],[Year]])</f>
        <v>42795</v>
      </c>
      <c r="E153" s="1">
        <v>132.69999999999999</v>
      </c>
      <c r="F153" s="1">
        <v>139.4</v>
      </c>
      <c r="G153" s="1">
        <v>128.4</v>
      </c>
      <c r="H153" s="1">
        <v>134.9</v>
      </c>
      <c r="I153" s="1">
        <v>114</v>
      </c>
      <c r="J153" s="1">
        <v>136.80000000000001</v>
      </c>
      <c r="K153" s="1">
        <v>122.2</v>
      </c>
      <c r="L153" s="1">
        <v>135.80000000000001</v>
      </c>
      <c r="M153" s="1">
        <v>120.3</v>
      </c>
      <c r="N153" s="1">
        <v>142.6</v>
      </c>
      <c r="O153" s="1">
        <v>123.6</v>
      </c>
      <c r="P153" s="1">
        <v>142.4</v>
      </c>
      <c r="Q153" s="1">
        <v>132.6</v>
      </c>
      <c r="R153" s="1">
        <v>147.5</v>
      </c>
      <c r="S153" s="1">
        <v>130.80000000000001</v>
      </c>
      <c r="T153" s="1">
        <v>122.8</v>
      </c>
      <c r="U153" s="1">
        <v>129.6</v>
      </c>
      <c r="V153" s="1">
        <v>131.1</v>
      </c>
      <c r="W153" s="1">
        <v>120.8</v>
      </c>
      <c r="X153" s="1">
        <v>125.6</v>
      </c>
      <c r="Y153" s="1">
        <v>123.1</v>
      </c>
      <c r="Z153" s="1">
        <v>115.6</v>
      </c>
      <c r="AA153" s="1">
        <v>122.4</v>
      </c>
      <c r="AB153" s="1">
        <v>132.80000000000001</v>
      </c>
      <c r="AC153" s="1">
        <v>121.7</v>
      </c>
      <c r="AD153" s="1">
        <v>122.6</v>
      </c>
      <c r="AE153" s="1">
        <v>128.69999999999999</v>
      </c>
      <c r="AF153" s="6">
        <f t="shared" si="8"/>
        <v>131.2076923076923</v>
      </c>
      <c r="AG153" s="6">
        <f t="shared" si="9"/>
        <v>130.83333333333334</v>
      </c>
      <c r="AH153" s="6">
        <f t="shared" si="10"/>
        <v>127.73333333333335</v>
      </c>
      <c r="AI153" s="6">
        <f t="shared" si="11"/>
        <v>125.18000000000002</v>
      </c>
      <c r="AJ153" s="6">
        <f>IFERROR(AVERAGE(Main[[#This Row],[Health]],Main[[#This Row],[Personal care and effects]]),"NA")</f>
        <v>122.4</v>
      </c>
    </row>
    <row r="154" spans="1:36" ht="13.2" x14ac:dyDescent="0.25">
      <c r="A154" s="1" t="s">
        <v>40</v>
      </c>
      <c r="B154" s="1">
        <v>2017</v>
      </c>
      <c r="C154" s="1" t="s">
        <v>42</v>
      </c>
      <c r="D154" s="8">
        <f>DATEVALUE(Main[[#This Row],[Month]]&amp;Main[[#This Row],[Year]])</f>
        <v>42795</v>
      </c>
      <c r="E154" s="1">
        <v>133.30000000000001</v>
      </c>
      <c r="F154" s="1">
        <v>139</v>
      </c>
      <c r="G154" s="1">
        <v>128.6</v>
      </c>
      <c r="H154" s="1">
        <v>136.30000000000001</v>
      </c>
      <c r="I154" s="1">
        <v>118.8</v>
      </c>
      <c r="J154" s="1">
        <v>138.30000000000001</v>
      </c>
      <c r="K154" s="1">
        <v>120.5</v>
      </c>
      <c r="L154" s="1">
        <v>143.9</v>
      </c>
      <c r="M154" s="1">
        <v>118</v>
      </c>
      <c r="N154" s="1">
        <v>137.9</v>
      </c>
      <c r="O154" s="1">
        <v>127.2</v>
      </c>
      <c r="P154" s="1">
        <v>144</v>
      </c>
      <c r="Q154" s="1">
        <v>133.1</v>
      </c>
      <c r="R154" s="1">
        <v>145.1</v>
      </c>
      <c r="S154" s="1">
        <v>137.30000000000001</v>
      </c>
      <c r="T154" s="1">
        <v>130.6</v>
      </c>
      <c r="U154" s="1">
        <v>136.4</v>
      </c>
      <c r="V154" s="1">
        <v>131.1</v>
      </c>
      <c r="W154" s="1">
        <v>129.1</v>
      </c>
      <c r="X154" s="1">
        <v>130.1</v>
      </c>
      <c r="Y154" s="1">
        <v>127.8</v>
      </c>
      <c r="Z154" s="1">
        <v>117.6</v>
      </c>
      <c r="AA154" s="1">
        <v>125</v>
      </c>
      <c r="AB154" s="1">
        <v>133.80000000000001</v>
      </c>
      <c r="AC154" s="1">
        <v>122.6</v>
      </c>
      <c r="AD154" s="1">
        <v>125.1</v>
      </c>
      <c r="AE154" s="1">
        <v>130.9</v>
      </c>
      <c r="AF154" s="6">
        <f t="shared" si="8"/>
        <v>132.22307692307692</v>
      </c>
      <c r="AG154" s="6">
        <f t="shared" si="9"/>
        <v>131.73333333333335</v>
      </c>
      <c r="AH154" s="6">
        <f t="shared" si="10"/>
        <v>134.76666666666665</v>
      </c>
      <c r="AI154" s="6">
        <f t="shared" si="11"/>
        <v>128.34</v>
      </c>
      <c r="AJ154" s="6">
        <f>IFERROR(AVERAGE(Main[[#This Row],[Health]],Main[[#This Row],[Personal care and effects]]),"NA")</f>
        <v>125.19999999999999</v>
      </c>
    </row>
    <row r="155" spans="1:36" ht="13.2" x14ac:dyDescent="0.25">
      <c r="A155" s="1" t="s">
        <v>36</v>
      </c>
      <c r="B155" s="1">
        <v>2017</v>
      </c>
      <c r="C155" s="1" t="s">
        <v>43</v>
      </c>
      <c r="D155" s="8">
        <f>DATEVALUE(Main[[#This Row],[Month]]&amp;Main[[#This Row],[Year]])</f>
        <v>42826</v>
      </c>
      <c r="E155" s="1">
        <v>133.19999999999999</v>
      </c>
      <c r="F155" s="1">
        <v>138.69999999999999</v>
      </c>
      <c r="G155" s="1">
        <v>127.1</v>
      </c>
      <c r="H155" s="1">
        <v>137.69999999999999</v>
      </c>
      <c r="I155" s="1">
        <v>121.3</v>
      </c>
      <c r="J155" s="1">
        <v>141.80000000000001</v>
      </c>
      <c r="K155" s="1">
        <v>121.5</v>
      </c>
      <c r="L155" s="1">
        <v>144.5</v>
      </c>
      <c r="M155" s="1">
        <v>117.4</v>
      </c>
      <c r="N155" s="1">
        <v>134.1</v>
      </c>
      <c r="O155" s="1">
        <v>130</v>
      </c>
      <c r="P155" s="1">
        <v>145.5</v>
      </c>
      <c r="Q155" s="1">
        <v>133.5</v>
      </c>
      <c r="R155" s="1">
        <v>144.4</v>
      </c>
      <c r="S155" s="1">
        <v>142.4</v>
      </c>
      <c r="T155" s="1">
        <v>136.80000000000001</v>
      </c>
      <c r="U155" s="1">
        <v>141.6</v>
      </c>
      <c r="V155" s="1" t="s">
        <v>38</v>
      </c>
      <c r="W155" s="1">
        <v>135</v>
      </c>
      <c r="X155" s="1">
        <v>134.30000000000001</v>
      </c>
      <c r="Y155" s="1">
        <v>131</v>
      </c>
      <c r="Z155" s="1">
        <v>119.2</v>
      </c>
      <c r="AA155" s="1">
        <v>128.30000000000001</v>
      </c>
      <c r="AB155" s="1">
        <v>135.69999999999999</v>
      </c>
      <c r="AC155" s="1">
        <v>123.7</v>
      </c>
      <c r="AD155" s="1">
        <v>127.5</v>
      </c>
      <c r="AE155" s="1">
        <v>132.9</v>
      </c>
      <c r="AF155" s="6">
        <f t="shared" si="8"/>
        <v>132.7923076923077</v>
      </c>
      <c r="AG155" s="6">
        <f t="shared" si="9"/>
        <v>133.4</v>
      </c>
      <c r="AH155" s="6">
        <f t="shared" si="10"/>
        <v>140.26666666666668</v>
      </c>
      <c r="AI155" s="6">
        <f t="shared" si="11"/>
        <v>131.05000000000001</v>
      </c>
      <c r="AJ155" s="6">
        <f>IFERROR(AVERAGE(Main[[#This Row],[Health]],Main[[#This Row],[Personal care and effects]]),"NA")</f>
        <v>127.35</v>
      </c>
    </row>
    <row r="156" spans="1:36" ht="13.2" x14ac:dyDescent="0.25">
      <c r="A156" s="1" t="s">
        <v>39</v>
      </c>
      <c r="B156" s="1">
        <v>2017</v>
      </c>
      <c r="C156" s="1" t="s">
        <v>43</v>
      </c>
      <c r="D156" s="8">
        <f>DATEVALUE(Main[[#This Row],[Month]]&amp;Main[[#This Row],[Year]])</f>
        <v>42826</v>
      </c>
      <c r="E156" s="1">
        <v>132.69999999999999</v>
      </c>
      <c r="F156" s="1">
        <v>140.6</v>
      </c>
      <c r="G156" s="1">
        <v>124.5</v>
      </c>
      <c r="H156" s="1">
        <v>136.30000000000001</v>
      </c>
      <c r="I156" s="1">
        <v>113.5</v>
      </c>
      <c r="J156" s="1">
        <v>137.69999999999999</v>
      </c>
      <c r="K156" s="1">
        <v>127.1</v>
      </c>
      <c r="L156" s="1">
        <v>133.80000000000001</v>
      </c>
      <c r="M156" s="1">
        <v>120.8</v>
      </c>
      <c r="N156" s="1">
        <v>141.30000000000001</v>
      </c>
      <c r="O156" s="1">
        <v>123.8</v>
      </c>
      <c r="P156" s="1">
        <v>142.6</v>
      </c>
      <c r="Q156" s="1">
        <v>133.4</v>
      </c>
      <c r="R156" s="1">
        <v>148</v>
      </c>
      <c r="S156" s="1">
        <v>131.19999999999999</v>
      </c>
      <c r="T156" s="1">
        <v>123</v>
      </c>
      <c r="U156" s="1">
        <v>130</v>
      </c>
      <c r="V156" s="1">
        <v>131.69999999999999</v>
      </c>
      <c r="W156" s="1">
        <v>121.4</v>
      </c>
      <c r="X156" s="1">
        <v>126</v>
      </c>
      <c r="Y156" s="1">
        <v>123.4</v>
      </c>
      <c r="Z156" s="1">
        <v>114.3</v>
      </c>
      <c r="AA156" s="1">
        <v>122.6</v>
      </c>
      <c r="AB156" s="1">
        <v>133.6</v>
      </c>
      <c r="AC156" s="1">
        <v>122.2</v>
      </c>
      <c r="AD156" s="1">
        <v>122.5</v>
      </c>
      <c r="AE156" s="1">
        <v>129.1</v>
      </c>
      <c r="AF156" s="6">
        <f t="shared" si="8"/>
        <v>131.3923076923077</v>
      </c>
      <c r="AG156" s="6">
        <f t="shared" si="9"/>
        <v>131.03333333333333</v>
      </c>
      <c r="AH156" s="6">
        <f t="shared" si="10"/>
        <v>128.06666666666666</v>
      </c>
      <c r="AI156" s="6">
        <f t="shared" si="11"/>
        <v>125.4</v>
      </c>
      <c r="AJ156" s="6">
        <f>IFERROR(AVERAGE(Main[[#This Row],[Health]],Main[[#This Row],[Personal care and effects]]),"NA")</f>
        <v>122.80000000000001</v>
      </c>
    </row>
    <row r="157" spans="1:36" ht="13.2" x14ac:dyDescent="0.25">
      <c r="A157" s="1" t="s">
        <v>40</v>
      </c>
      <c r="B157" s="1">
        <v>2017</v>
      </c>
      <c r="C157" s="1" t="s">
        <v>43</v>
      </c>
      <c r="D157" s="8">
        <f>DATEVALUE(Main[[#This Row],[Month]]&amp;Main[[#This Row],[Year]])</f>
        <v>42826</v>
      </c>
      <c r="E157" s="1">
        <v>133</v>
      </c>
      <c r="F157" s="1">
        <v>139.4</v>
      </c>
      <c r="G157" s="1">
        <v>126.1</v>
      </c>
      <c r="H157" s="1">
        <v>137.19999999999999</v>
      </c>
      <c r="I157" s="1">
        <v>118.4</v>
      </c>
      <c r="J157" s="1">
        <v>139.9</v>
      </c>
      <c r="K157" s="1">
        <v>123.4</v>
      </c>
      <c r="L157" s="1">
        <v>140.9</v>
      </c>
      <c r="M157" s="1">
        <v>118.5</v>
      </c>
      <c r="N157" s="1">
        <v>136.5</v>
      </c>
      <c r="O157" s="1">
        <v>127.4</v>
      </c>
      <c r="P157" s="1">
        <v>144.19999999999999</v>
      </c>
      <c r="Q157" s="1">
        <v>133.5</v>
      </c>
      <c r="R157" s="1">
        <v>145.4</v>
      </c>
      <c r="S157" s="1">
        <v>138</v>
      </c>
      <c r="T157" s="1">
        <v>131.1</v>
      </c>
      <c r="U157" s="1">
        <v>137</v>
      </c>
      <c r="V157" s="1">
        <v>131.69999999999999</v>
      </c>
      <c r="W157" s="1">
        <v>129.80000000000001</v>
      </c>
      <c r="X157" s="1">
        <v>130.4</v>
      </c>
      <c r="Y157" s="1">
        <v>128.1</v>
      </c>
      <c r="Z157" s="1">
        <v>116.6</v>
      </c>
      <c r="AA157" s="1">
        <v>125.1</v>
      </c>
      <c r="AB157" s="1">
        <v>134.5</v>
      </c>
      <c r="AC157" s="1">
        <v>123.1</v>
      </c>
      <c r="AD157" s="1">
        <v>125.1</v>
      </c>
      <c r="AE157" s="1">
        <v>131.1</v>
      </c>
      <c r="AF157" s="6">
        <f t="shared" si="8"/>
        <v>132.1846153846154</v>
      </c>
      <c r="AG157" s="6">
        <f t="shared" si="9"/>
        <v>131.86666666666667</v>
      </c>
      <c r="AH157" s="6">
        <f t="shared" si="10"/>
        <v>135.36666666666667</v>
      </c>
      <c r="AI157" s="6">
        <f t="shared" si="11"/>
        <v>128.6</v>
      </c>
      <c r="AJ157" s="6">
        <f>IFERROR(AVERAGE(Main[[#This Row],[Health]],Main[[#This Row],[Personal care and effects]]),"NA")</f>
        <v>125.6</v>
      </c>
    </row>
    <row r="158" spans="1:36" ht="13.2" x14ac:dyDescent="0.25">
      <c r="A158" s="1" t="s">
        <v>36</v>
      </c>
      <c r="B158" s="1">
        <v>2017</v>
      </c>
      <c r="C158" s="1" t="s">
        <v>44</v>
      </c>
      <c r="D158" s="8">
        <f>DATEVALUE(Main[[#This Row],[Month]]&amp;Main[[#This Row],[Year]])</f>
        <v>42856</v>
      </c>
      <c r="E158" s="1">
        <v>133.1</v>
      </c>
      <c r="F158" s="1">
        <v>140.30000000000001</v>
      </c>
      <c r="G158" s="1">
        <v>126.8</v>
      </c>
      <c r="H158" s="1">
        <v>138.19999999999999</v>
      </c>
      <c r="I158" s="1">
        <v>120.8</v>
      </c>
      <c r="J158" s="1">
        <v>140.19999999999999</v>
      </c>
      <c r="K158" s="1">
        <v>123.8</v>
      </c>
      <c r="L158" s="1">
        <v>141.80000000000001</v>
      </c>
      <c r="M158" s="1">
        <v>118.6</v>
      </c>
      <c r="N158" s="1">
        <v>134</v>
      </c>
      <c r="O158" s="1">
        <v>130.30000000000001</v>
      </c>
      <c r="P158" s="1">
        <v>145.80000000000001</v>
      </c>
      <c r="Q158" s="1">
        <v>133.80000000000001</v>
      </c>
      <c r="R158" s="1">
        <v>145.5</v>
      </c>
      <c r="S158" s="1">
        <v>142.5</v>
      </c>
      <c r="T158" s="1">
        <v>137.30000000000001</v>
      </c>
      <c r="U158" s="1">
        <v>141.80000000000001</v>
      </c>
      <c r="V158" s="1" t="s">
        <v>38</v>
      </c>
      <c r="W158" s="1">
        <v>135</v>
      </c>
      <c r="X158" s="1">
        <v>134.9</v>
      </c>
      <c r="Y158" s="1">
        <v>131.4</v>
      </c>
      <c r="Z158" s="1">
        <v>119.4</v>
      </c>
      <c r="AA158" s="1">
        <v>129.4</v>
      </c>
      <c r="AB158" s="1">
        <v>136.30000000000001</v>
      </c>
      <c r="AC158" s="1">
        <v>123.7</v>
      </c>
      <c r="AD158" s="1">
        <v>127.9</v>
      </c>
      <c r="AE158" s="1">
        <v>133.30000000000001</v>
      </c>
      <c r="AF158" s="6">
        <f t="shared" si="8"/>
        <v>132.88461538461536</v>
      </c>
      <c r="AG158" s="6">
        <f t="shared" si="9"/>
        <v>134.26666666666665</v>
      </c>
      <c r="AH158" s="6">
        <f t="shared" si="10"/>
        <v>140.53333333333333</v>
      </c>
      <c r="AI158" s="6">
        <f t="shared" si="11"/>
        <v>131.39999999999998</v>
      </c>
      <c r="AJ158" s="6">
        <f>IFERROR(AVERAGE(Main[[#This Row],[Health]],Main[[#This Row],[Personal care and effects]]),"NA")</f>
        <v>127.55000000000001</v>
      </c>
    </row>
    <row r="159" spans="1:36" ht="13.2" x14ac:dyDescent="0.25">
      <c r="A159" s="1" t="s">
        <v>39</v>
      </c>
      <c r="B159" s="1">
        <v>2017</v>
      </c>
      <c r="C159" s="1" t="s">
        <v>44</v>
      </c>
      <c r="D159" s="8">
        <f>DATEVALUE(Main[[#This Row],[Month]]&amp;Main[[#This Row],[Year]])</f>
        <v>42856</v>
      </c>
      <c r="E159" s="1">
        <v>132.6</v>
      </c>
      <c r="F159" s="1">
        <v>144.1</v>
      </c>
      <c r="G159" s="1">
        <v>125.6</v>
      </c>
      <c r="H159" s="1">
        <v>136.80000000000001</v>
      </c>
      <c r="I159" s="1">
        <v>113.4</v>
      </c>
      <c r="J159" s="1">
        <v>135.19999999999999</v>
      </c>
      <c r="K159" s="1">
        <v>129.19999999999999</v>
      </c>
      <c r="L159" s="1">
        <v>131.5</v>
      </c>
      <c r="M159" s="1">
        <v>121</v>
      </c>
      <c r="N159" s="1">
        <v>139.9</v>
      </c>
      <c r="O159" s="1">
        <v>123.8</v>
      </c>
      <c r="P159" s="1">
        <v>142.9</v>
      </c>
      <c r="Q159" s="1">
        <v>133.6</v>
      </c>
      <c r="R159" s="1">
        <v>148.30000000000001</v>
      </c>
      <c r="S159" s="1">
        <v>131.5</v>
      </c>
      <c r="T159" s="1">
        <v>123.2</v>
      </c>
      <c r="U159" s="1">
        <v>130.19999999999999</v>
      </c>
      <c r="V159" s="1">
        <v>132.1</v>
      </c>
      <c r="W159" s="1">
        <v>120.1</v>
      </c>
      <c r="X159" s="1">
        <v>126.5</v>
      </c>
      <c r="Y159" s="1">
        <v>123.6</v>
      </c>
      <c r="Z159" s="1">
        <v>114.3</v>
      </c>
      <c r="AA159" s="1">
        <v>122.8</v>
      </c>
      <c r="AB159" s="1">
        <v>133.80000000000001</v>
      </c>
      <c r="AC159" s="1">
        <v>122</v>
      </c>
      <c r="AD159" s="1">
        <v>122.6</v>
      </c>
      <c r="AE159" s="1">
        <v>129.30000000000001</v>
      </c>
      <c r="AF159" s="6">
        <f t="shared" si="8"/>
        <v>131.50769230769231</v>
      </c>
      <c r="AG159" s="6">
        <f t="shared" si="9"/>
        <v>131.23333333333335</v>
      </c>
      <c r="AH159" s="6">
        <f t="shared" si="10"/>
        <v>128.29999999999998</v>
      </c>
      <c r="AI159" s="6">
        <f t="shared" si="11"/>
        <v>125.35999999999999</v>
      </c>
      <c r="AJ159" s="6">
        <f>IFERROR(AVERAGE(Main[[#This Row],[Health]],Main[[#This Row],[Personal care and effects]]),"NA")</f>
        <v>122.8</v>
      </c>
    </row>
    <row r="160" spans="1:36" ht="13.2" x14ac:dyDescent="0.25">
      <c r="A160" s="1" t="s">
        <v>40</v>
      </c>
      <c r="B160" s="1">
        <v>2017</v>
      </c>
      <c r="C160" s="1" t="s">
        <v>44</v>
      </c>
      <c r="D160" s="8">
        <f>DATEVALUE(Main[[#This Row],[Month]]&amp;Main[[#This Row],[Year]])</f>
        <v>42856</v>
      </c>
      <c r="E160" s="1">
        <v>132.9</v>
      </c>
      <c r="F160" s="1">
        <v>141.6</v>
      </c>
      <c r="G160" s="1">
        <v>126.3</v>
      </c>
      <c r="H160" s="1">
        <v>137.69999999999999</v>
      </c>
      <c r="I160" s="1">
        <v>118.1</v>
      </c>
      <c r="J160" s="1">
        <v>137.9</v>
      </c>
      <c r="K160" s="1">
        <v>125.6</v>
      </c>
      <c r="L160" s="1">
        <v>138.30000000000001</v>
      </c>
      <c r="M160" s="1">
        <v>119.4</v>
      </c>
      <c r="N160" s="1">
        <v>136</v>
      </c>
      <c r="O160" s="1">
        <v>127.6</v>
      </c>
      <c r="P160" s="1">
        <v>144.5</v>
      </c>
      <c r="Q160" s="1">
        <v>133.69999999999999</v>
      </c>
      <c r="R160" s="1">
        <v>146.19999999999999</v>
      </c>
      <c r="S160" s="1">
        <v>138.19999999999999</v>
      </c>
      <c r="T160" s="1">
        <v>131.4</v>
      </c>
      <c r="U160" s="1">
        <v>137.19999999999999</v>
      </c>
      <c r="V160" s="1">
        <v>132.1</v>
      </c>
      <c r="W160" s="1">
        <v>129.4</v>
      </c>
      <c r="X160" s="1">
        <v>130.9</v>
      </c>
      <c r="Y160" s="1">
        <v>128.4</v>
      </c>
      <c r="Z160" s="1">
        <v>116.7</v>
      </c>
      <c r="AA160" s="1">
        <v>125.7</v>
      </c>
      <c r="AB160" s="1">
        <v>134.80000000000001</v>
      </c>
      <c r="AC160" s="1">
        <v>123</v>
      </c>
      <c r="AD160" s="1">
        <v>125.3</v>
      </c>
      <c r="AE160" s="1">
        <v>131.4</v>
      </c>
      <c r="AF160" s="6">
        <f t="shared" si="8"/>
        <v>132.27692307692308</v>
      </c>
      <c r="AG160" s="6">
        <f t="shared" si="9"/>
        <v>132.4</v>
      </c>
      <c r="AH160" s="6">
        <f t="shared" si="10"/>
        <v>135.6</v>
      </c>
      <c r="AI160" s="6">
        <f t="shared" si="11"/>
        <v>128.78</v>
      </c>
      <c r="AJ160" s="6">
        <f>IFERROR(AVERAGE(Main[[#This Row],[Health]],Main[[#This Row],[Personal care and effects]]),"NA")</f>
        <v>125.7</v>
      </c>
    </row>
    <row r="161" spans="1:36" ht="13.2" x14ac:dyDescent="0.25">
      <c r="A161" s="1" t="s">
        <v>36</v>
      </c>
      <c r="B161" s="1">
        <v>2017</v>
      </c>
      <c r="C161" s="1" t="s">
        <v>45</v>
      </c>
      <c r="D161" s="8">
        <f>DATEVALUE(Main[[#This Row],[Month]]&amp;Main[[#This Row],[Year]])</f>
        <v>42887</v>
      </c>
      <c r="E161" s="1">
        <v>133.5</v>
      </c>
      <c r="F161" s="1">
        <v>143.69999999999999</v>
      </c>
      <c r="G161" s="1">
        <v>128</v>
      </c>
      <c r="H161" s="1">
        <v>138.6</v>
      </c>
      <c r="I161" s="1">
        <v>120.9</v>
      </c>
      <c r="J161" s="1">
        <v>140.9</v>
      </c>
      <c r="K161" s="1">
        <v>128.80000000000001</v>
      </c>
      <c r="L161" s="1">
        <v>140.19999999999999</v>
      </c>
      <c r="M161" s="1">
        <v>118.9</v>
      </c>
      <c r="N161" s="1">
        <v>133.5</v>
      </c>
      <c r="O161" s="1">
        <v>130.4</v>
      </c>
      <c r="P161" s="1">
        <v>146.5</v>
      </c>
      <c r="Q161" s="1">
        <v>134.9</v>
      </c>
      <c r="R161" s="1">
        <v>145.80000000000001</v>
      </c>
      <c r="S161" s="1">
        <v>143.1</v>
      </c>
      <c r="T161" s="1">
        <v>137.69999999999999</v>
      </c>
      <c r="U161" s="1">
        <v>142.30000000000001</v>
      </c>
      <c r="V161" s="1" t="s">
        <v>38</v>
      </c>
      <c r="W161" s="1">
        <v>134.80000000000001</v>
      </c>
      <c r="X161" s="1">
        <v>135.19999999999999</v>
      </c>
      <c r="Y161" s="1">
        <v>131.30000000000001</v>
      </c>
      <c r="Z161" s="1">
        <v>119.4</v>
      </c>
      <c r="AA161" s="1">
        <v>129.80000000000001</v>
      </c>
      <c r="AB161" s="1">
        <v>136.9</v>
      </c>
      <c r="AC161" s="1">
        <v>124.1</v>
      </c>
      <c r="AD161" s="1">
        <v>128.1</v>
      </c>
      <c r="AE161" s="1">
        <v>133.9</v>
      </c>
      <c r="AF161" s="6">
        <f t="shared" si="8"/>
        <v>133.75384615384615</v>
      </c>
      <c r="AG161" s="6">
        <f t="shared" si="9"/>
        <v>134.56666666666669</v>
      </c>
      <c r="AH161" s="6">
        <f t="shared" si="10"/>
        <v>141.03333333333333</v>
      </c>
      <c r="AI161" s="6">
        <f t="shared" si="11"/>
        <v>131.57499999999999</v>
      </c>
      <c r="AJ161" s="6">
        <f>IFERROR(AVERAGE(Main[[#This Row],[Health]],Main[[#This Row],[Personal care and effects]]),"NA")</f>
        <v>127.7</v>
      </c>
    </row>
    <row r="162" spans="1:36" ht="13.2" x14ac:dyDescent="0.25">
      <c r="A162" s="1" t="s">
        <v>39</v>
      </c>
      <c r="B162" s="1">
        <v>2017</v>
      </c>
      <c r="C162" s="1" t="s">
        <v>45</v>
      </c>
      <c r="D162" s="8">
        <f>DATEVALUE(Main[[#This Row],[Month]]&amp;Main[[#This Row],[Year]])</f>
        <v>42887</v>
      </c>
      <c r="E162" s="1">
        <v>132.9</v>
      </c>
      <c r="F162" s="1">
        <v>148.69999999999999</v>
      </c>
      <c r="G162" s="1">
        <v>128.30000000000001</v>
      </c>
      <c r="H162" s="1">
        <v>137.30000000000001</v>
      </c>
      <c r="I162" s="1">
        <v>113.5</v>
      </c>
      <c r="J162" s="1">
        <v>137.19999999999999</v>
      </c>
      <c r="K162" s="1">
        <v>142.19999999999999</v>
      </c>
      <c r="L162" s="1">
        <v>128.19999999999999</v>
      </c>
      <c r="M162" s="1">
        <v>120.9</v>
      </c>
      <c r="N162" s="1">
        <v>138.80000000000001</v>
      </c>
      <c r="O162" s="1">
        <v>124.2</v>
      </c>
      <c r="P162" s="1">
        <v>143.1</v>
      </c>
      <c r="Q162" s="1">
        <v>135.69999999999999</v>
      </c>
      <c r="R162" s="1">
        <v>148.6</v>
      </c>
      <c r="S162" s="1">
        <v>131.5</v>
      </c>
      <c r="T162" s="1">
        <v>123.2</v>
      </c>
      <c r="U162" s="1">
        <v>130.19999999999999</v>
      </c>
      <c r="V162" s="1">
        <v>131.4</v>
      </c>
      <c r="W162" s="1">
        <v>119</v>
      </c>
      <c r="X162" s="1">
        <v>126.8</v>
      </c>
      <c r="Y162" s="1">
        <v>123.8</v>
      </c>
      <c r="Z162" s="1">
        <v>113.9</v>
      </c>
      <c r="AA162" s="1">
        <v>122.9</v>
      </c>
      <c r="AB162" s="1">
        <v>134.30000000000001</v>
      </c>
      <c r="AC162" s="1">
        <v>122.5</v>
      </c>
      <c r="AD162" s="1">
        <v>122.7</v>
      </c>
      <c r="AE162" s="1">
        <v>129.9</v>
      </c>
      <c r="AF162" s="6">
        <f t="shared" si="8"/>
        <v>133.15384615384616</v>
      </c>
      <c r="AG162" s="6">
        <f t="shared" si="9"/>
        <v>131.4</v>
      </c>
      <c r="AH162" s="6">
        <f t="shared" si="10"/>
        <v>128.29999999999998</v>
      </c>
      <c r="AI162" s="6">
        <f t="shared" si="11"/>
        <v>125.08000000000001</v>
      </c>
      <c r="AJ162" s="6">
        <f>IFERROR(AVERAGE(Main[[#This Row],[Health]],Main[[#This Row],[Personal care and effects]]),"NA")</f>
        <v>123.15</v>
      </c>
    </row>
    <row r="163" spans="1:36" ht="13.2" x14ac:dyDescent="0.25">
      <c r="A163" s="1" t="s">
        <v>40</v>
      </c>
      <c r="B163" s="1">
        <v>2017</v>
      </c>
      <c r="C163" s="1" t="s">
        <v>45</v>
      </c>
      <c r="D163" s="8">
        <f>DATEVALUE(Main[[#This Row],[Month]]&amp;Main[[#This Row],[Year]])</f>
        <v>42887</v>
      </c>
      <c r="E163" s="1">
        <v>133.30000000000001</v>
      </c>
      <c r="F163" s="1">
        <v>145.5</v>
      </c>
      <c r="G163" s="1">
        <v>128.1</v>
      </c>
      <c r="H163" s="1">
        <v>138.1</v>
      </c>
      <c r="I163" s="1">
        <v>118.2</v>
      </c>
      <c r="J163" s="1">
        <v>139.19999999999999</v>
      </c>
      <c r="K163" s="1">
        <v>133.30000000000001</v>
      </c>
      <c r="L163" s="1">
        <v>136.19999999999999</v>
      </c>
      <c r="M163" s="1">
        <v>119.6</v>
      </c>
      <c r="N163" s="1">
        <v>135.30000000000001</v>
      </c>
      <c r="O163" s="1">
        <v>127.8</v>
      </c>
      <c r="P163" s="1">
        <v>144.9</v>
      </c>
      <c r="Q163" s="1">
        <v>135.19999999999999</v>
      </c>
      <c r="R163" s="1">
        <v>146.5</v>
      </c>
      <c r="S163" s="1">
        <v>138.5</v>
      </c>
      <c r="T163" s="1">
        <v>131.69999999999999</v>
      </c>
      <c r="U163" s="1">
        <v>137.5</v>
      </c>
      <c r="V163" s="1">
        <v>131.4</v>
      </c>
      <c r="W163" s="1">
        <v>128.80000000000001</v>
      </c>
      <c r="X163" s="1">
        <v>131.19999999999999</v>
      </c>
      <c r="Y163" s="1">
        <v>128.5</v>
      </c>
      <c r="Z163" s="1">
        <v>116.5</v>
      </c>
      <c r="AA163" s="1">
        <v>125.9</v>
      </c>
      <c r="AB163" s="1">
        <v>135.4</v>
      </c>
      <c r="AC163" s="1">
        <v>123.4</v>
      </c>
      <c r="AD163" s="1">
        <v>125.5</v>
      </c>
      <c r="AE163" s="1">
        <v>132</v>
      </c>
      <c r="AF163" s="6">
        <f t="shared" si="8"/>
        <v>133.43846153846155</v>
      </c>
      <c r="AG163" s="6">
        <f t="shared" si="9"/>
        <v>132.63333333333333</v>
      </c>
      <c r="AH163" s="6">
        <f t="shared" si="10"/>
        <v>135.9</v>
      </c>
      <c r="AI163" s="6">
        <f t="shared" si="11"/>
        <v>128.66000000000003</v>
      </c>
      <c r="AJ163" s="6">
        <f>IFERROR(AVERAGE(Main[[#This Row],[Health]],Main[[#This Row],[Personal care and effects]]),"NA")</f>
        <v>125.95</v>
      </c>
    </row>
    <row r="164" spans="1:36" ht="13.2" x14ac:dyDescent="0.25">
      <c r="A164" s="1" t="s">
        <v>36</v>
      </c>
      <c r="B164" s="1">
        <v>2017</v>
      </c>
      <c r="C164" s="1" t="s">
        <v>46</v>
      </c>
      <c r="D164" s="8">
        <f>DATEVALUE(Main[[#This Row],[Month]]&amp;Main[[#This Row],[Year]])</f>
        <v>42917</v>
      </c>
      <c r="E164" s="1">
        <v>134</v>
      </c>
      <c r="F164" s="1">
        <v>144.19999999999999</v>
      </c>
      <c r="G164" s="1">
        <v>129.80000000000001</v>
      </c>
      <c r="H164" s="1">
        <v>139</v>
      </c>
      <c r="I164" s="1">
        <v>120.9</v>
      </c>
      <c r="J164" s="1">
        <v>143.9</v>
      </c>
      <c r="K164" s="1">
        <v>151.5</v>
      </c>
      <c r="L164" s="1">
        <v>138.1</v>
      </c>
      <c r="M164" s="1">
        <v>120</v>
      </c>
      <c r="N164" s="1">
        <v>133.9</v>
      </c>
      <c r="O164" s="1">
        <v>131.4</v>
      </c>
      <c r="P164" s="1">
        <v>147.69999999999999</v>
      </c>
      <c r="Q164" s="1">
        <v>138.5</v>
      </c>
      <c r="R164" s="1">
        <v>147.4</v>
      </c>
      <c r="S164" s="1">
        <v>144.30000000000001</v>
      </c>
      <c r="T164" s="1">
        <v>138.1</v>
      </c>
      <c r="U164" s="1">
        <v>143.5</v>
      </c>
      <c r="V164" s="1" t="s">
        <v>38</v>
      </c>
      <c r="W164" s="1">
        <v>135.30000000000001</v>
      </c>
      <c r="X164" s="1">
        <v>136.1</v>
      </c>
      <c r="Y164" s="1">
        <v>132.1</v>
      </c>
      <c r="Z164" s="1">
        <v>119.1</v>
      </c>
      <c r="AA164" s="1">
        <v>130.6</v>
      </c>
      <c r="AB164" s="1">
        <v>138.6</v>
      </c>
      <c r="AC164" s="1">
        <v>124.4</v>
      </c>
      <c r="AD164" s="1">
        <v>128.6</v>
      </c>
      <c r="AE164" s="1">
        <v>136.19999999999999</v>
      </c>
      <c r="AF164" s="6">
        <f t="shared" si="8"/>
        <v>136.37692307692308</v>
      </c>
      <c r="AG164" s="6">
        <f t="shared" si="9"/>
        <v>135.53333333333333</v>
      </c>
      <c r="AH164" s="6">
        <f t="shared" si="10"/>
        <v>141.96666666666667</v>
      </c>
      <c r="AI164" s="6">
        <f t="shared" si="11"/>
        <v>132.27500000000001</v>
      </c>
      <c r="AJ164" s="6">
        <f>IFERROR(AVERAGE(Main[[#This Row],[Health]],Main[[#This Row],[Personal care and effects]]),"NA")</f>
        <v>128.25</v>
      </c>
    </row>
    <row r="165" spans="1:36" ht="13.2" x14ac:dyDescent="0.25">
      <c r="A165" s="1" t="s">
        <v>39</v>
      </c>
      <c r="B165" s="1">
        <v>2017</v>
      </c>
      <c r="C165" s="1" t="s">
        <v>46</v>
      </c>
      <c r="D165" s="8">
        <f>DATEVALUE(Main[[#This Row],[Month]]&amp;Main[[#This Row],[Year]])</f>
        <v>42917</v>
      </c>
      <c r="E165" s="1">
        <v>132.80000000000001</v>
      </c>
      <c r="F165" s="1">
        <v>148.4</v>
      </c>
      <c r="G165" s="1">
        <v>129.4</v>
      </c>
      <c r="H165" s="1">
        <v>137.69999999999999</v>
      </c>
      <c r="I165" s="1">
        <v>113.4</v>
      </c>
      <c r="J165" s="1">
        <v>139.4</v>
      </c>
      <c r="K165" s="1">
        <v>175.1</v>
      </c>
      <c r="L165" s="1">
        <v>124.7</v>
      </c>
      <c r="M165" s="1">
        <v>121.5</v>
      </c>
      <c r="N165" s="1">
        <v>137.80000000000001</v>
      </c>
      <c r="O165" s="1">
        <v>124.4</v>
      </c>
      <c r="P165" s="1">
        <v>143.69999999999999</v>
      </c>
      <c r="Q165" s="1">
        <v>139.80000000000001</v>
      </c>
      <c r="R165" s="1">
        <v>150.5</v>
      </c>
      <c r="S165" s="1">
        <v>131.6</v>
      </c>
      <c r="T165" s="1">
        <v>123.7</v>
      </c>
      <c r="U165" s="1">
        <v>130.4</v>
      </c>
      <c r="V165" s="1">
        <v>132.6</v>
      </c>
      <c r="W165" s="1">
        <v>119.7</v>
      </c>
      <c r="X165" s="1">
        <v>127.2</v>
      </c>
      <c r="Y165" s="1">
        <v>125</v>
      </c>
      <c r="Z165" s="1">
        <v>113.2</v>
      </c>
      <c r="AA165" s="1">
        <v>123.5</v>
      </c>
      <c r="AB165" s="1">
        <v>135.5</v>
      </c>
      <c r="AC165" s="1">
        <v>122.4</v>
      </c>
      <c r="AD165" s="1">
        <v>123</v>
      </c>
      <c r="AE165" s="1">
        <v>131.80000000000001</v>
      </c>
      <c r="AF165" s="6">
        <f t="shared" si="8"/>
        <v>136.00769230769231</v>
      </c>
      <c r="AG165" s="6">
        <f t="shared" si="9"/>
        <v>132.33333333333334</v>
      </c>
      <c r="AH165" s="6">
        <f t="shared" si="10"/>
        <v>128.56666666666669</v>
      </c>
      <c r="AI165" s="6">
        <f t="shared" si="11"/>
        <v>125.64000000000001</v>
      </c>
      <c r="AJ165" s="6">
        <f>IFERROR(AVERAGE(Main[[#This Row],[Health]],Main[[#This Row],[Personal care and effects]]),"NA")</f>
        <v>123.7</v>
      </c>
    </row>
    <row r="166" spans="1:36" ht="13.2" x14ac:dyDescent="0.25">
      <c r="A166" s="1" t="s">
        <v>40</v>
      </c>
      <c r="B166" s="1">
        <v>2017</v>
      </c>
      <c r="C166" s="1" t="s">
        <v>46</v>
      </c>
      <c r="D166" s="8">
        <f>DATEVALUE(Main[[#This Row],[Month]]&amp;Main[[#This Row],[Year]])</f>
        <v>42917</v>
      </c>
      <c r="E166" s="1">
        <v>133.6</v>
      </c>
      <c r="F166" s="1">
        <v>145.69999999999999</v>
      </c>
      <c r="G166" s="1">
        <v>129.6</v>
      </c>
      <c r="H166" s="1">
        <v>138.5</v>
      </c>
      <c r="I166" s="1">
        <v>118.1</v>
      </c>
      <c r="J166" s="1">
        <v>141.80000000000001</v>
      </c>
      <c r="K166" s="1">
        <v>159.5</v>
      </c>
      <c r="L166" s="1">
        <v>133.6</v>
      </c>
      <c r="M166" s="1">
        <v>120.5</v>
      </c>
      <c r="N166" s="1">
        <v>135.19999999999999</v>
      </c>
      <c r="O166" s="1">
        <v>128.5</v>
      </c>
      <c r="P166" s="1">
        <v>145.80000000000001</v>
      </c>
      <c r="Q166" s="1">
        <v>139</v>
      </c>
      <c r="R166" s="1">
        <v>148.19999999999999</v>
      </c>
      <c r="S166" s="1">
        <v>139.30000000000001</v>
      </c>
      <c r="T166" s="1">
        <v>132.1</v>
      </c>
      <c r="U166" s="1">
        <v>138.30000000000001</v>
      </c>
      <c r="V166" s="1">
        <v>132.6</v>
      </c>
      <c r="W166" s="1">
        <v>129.4</v>
      </c>
      <c r="X166" s="1">
        <v>131.9</v>
      </c>
      <c r="Y166" s="1">
        <v>129.4</v>
      </c>
      <c r="Z166" s="1">
        <v>116</v>
      </c>
      <c r="AA166" s="1">
        <v>126.6</v>
      </c>
      <c r="AB166" s="1">
        <v>136.80000000000001</v>
      </c>
      <c r="AC166" s="1">
        <v>123.6</v>
      </c>
      <c r="AD166" s="1">
        <v>125.9</v>
      </c>
      <c r="AE166" s="1">
        <v>134.19999999999999</v>
      </c>
      <c r="AF166" s="6">
        <f t="shared" si="8"/>
        <v>136.1076923076923</v>
      </c>
      <c r="AG166" s="6">
        <f t="shared" si="9"/>
        <v>133.56666666666663</v>
      </c>
      <c r="AH166" s="6">
        <f t="shared" si="10"/>
        <v>136.56666666666666</v>
      </c>
      <c r="AI166" s="6">
        <f t="shared" si="11"/>
        <v>129.34</v>
      </c>
      <c r="AJ166" s="6">
        <f>IFERROR(AVERAGE(Main[[#This Row],[Health]],Main[[#This Row],[Personal care and effects]]),"NA")</f>
        <v>126.5</v>
      </c>
    </row>
    <row r="167" spans="1:36" ht="13.2" x14ac:dyDescent="0.25">
      <c r="A167" s="1" t="s">
        <v>36</v>
      </c>
      <c r="B167" s="1">
        <v>2017</v>
      </c>
      <c r="C167" s="1" t="s">
        <v>47</v>
      </c>
      <c r="D167" s="8">
        <f>DATEVALUE(Main[[#This Row],[Month]]&amp;Main[[#This Row],[Year]])</f>
        <v>42948</v>
      </c>
      <c r="E167" s="1">
        <v>134.80000000000001</v>
      </c>
      <c r="F167" s="1">
        <v>143.1</v>
      </c>
      <c r="G167" s="1">
        <v>130</v>
      </c>
      <c r="H167" s="1">
        <v>139.4</v>
      </c>
      <c r="I167" s="1">
        <v>120.5</v>
      </c>
      <c r="J167" s="1">
        <v>148</v>
      </c>
      <c r="K167" s="1">
        <v>162.9</v>
      </c>
      <c r="L167" s="1">
        <v>137.4</v>
      </c>
      <c r="M167" s="1">
        <v>120.8</v>
      </c>
      <c r="N167" s="1">
        <v>134.69999999999999</v>
      </c>
      <c r="O167" s="1">
        <v>131.6</v>
      </c>
      <c r="P167" s="1">
        <v>148.69999999999999</v>
      </c>
      <c r="Q167" s="1">
        <v>140.6</v>
      </c>
      <c r="R167" s="1">
        <v>149</v>
      </c>
      <c r="S167" s="1">
        <v>145.30000000000001</v>
      </c>
      <c r="T167" s="1">
        <v>139.19999999999999</v>
      </c>
      <c r="U167" s="1">
        <v>144.5</v>
      </c>
      <c r="V167" s="1" t="s">
        <v>38</v>
      </c>
      <c r="W167" s="1">
        <v>136.4</v>
      </c>
      <c r="X167" s="1">
        <v>137.30000000000001</v>
      </c>
      <c r="Y167" s="1">
        <v>133</v>
      </c>
      <c r="Z167" s="1">
        <v>120.3</v>
      </c>
      <c r="AA167" s="1">
        <v>131.5</v>
      </c>
      <c r="AB167" s="1">
        <v>140.19999999999999</v>
      </c>
      <c r="AC167" s="1">
        <v>125.4</v>
      </c>
      <c r="AD167" s="1">
        <v>129.69999999999999</v>
      </c>
      <c r="AE167" s="1">
        <v>137.80000000000001</v>
      </c>
      <c r="AF167" s="6">
        <f t="shared" si="8"/>
        <v>137.88461538461536</v>
      </c>
      <c r="AG167" s="6">
        <f t="shared" si="9"/>
        <v>136.73333333333332</v>
      </c>
      <c r="AH167" s="6">
        <f t="shared" si="10"/>
        <v>143</v>
      </c>
      <c r="AI167" s="6">
        <f t="shared" si="11"/>
        <v>133.55000000000001</v>
      </c>
      <c r="AJ167" s="6">
        <f>IFERROR(AVERAGE(Main[[#This Row],[Health]],Main[[#This Row],[Personal care and effects]]),"NA")</f>
        <v>129.19999999999999</v>
      </c>
    </row>
    <row r="168" spans="1:36" ht="13.2" x14ac:dyDescent="0.25">
      <c r="A168" s="1" t="s">
        <v>39</v>
      </c>
      <c r="B168" s="1">
        <v>2017</v>
      </c>
      <c r="C168" s="1" t="s">
        <v>47</v>
      </c>
      <c r="D168" s="8">
        <f>DATEVALUE(Main[[#This Row],[Month]]&amp;Main[[#This Row],[Year]])</f>
        <v>42948</v>
      </c>
      <c r="E168" s="1">
        <v>133.19999999999999</v>
      </c>
      <c r="F168" s="1">
        <v>143.9</v>
      </c>
      <c r="G168" s="1">
        <v>128.30000000000001</v>
      </c>
      <c r="H168" s="1">
        <v>138.30000000000001</v>
      </c>
      <c r="I168" s="1">
        <v>114.1</v>
      </c>
      <c r="J168" s="1">
        <v>142.69999999999999</v>
      </c>
      <c r="K168" s="1">
        <v>179.8</v>
      </c>
      <c r="L168" s="1">
        <v>123.5</v>
      </c>
      <c r="M168" s="1">
        <v>122.1</v>
      </c>
      <c r="N168" s="1">
        <v>137.5</v>
      </c>
      <c r="O168" s="1">
        <v>124.6</v>
      </c>
      <c r="P168" s="1">
        <v>144.5</v>
      </c>
      <c r="Q168" s="1">
        <v>140.5</v>
      </c>
      <c r="R168" s="1">
        <v>152.1</v>
      </c>
      <c r="S168" s="1">
        <v>132.69999999999999</v>
      </c>
      <c r="T168" s="1">
        <v>124.3</v>
      </c>
      <c r="U168" s="1">
        <v>131.4</v>
      </c>
      <c r="V168" s="1">
        <v>134.4</v>
      </c>
      <c r="W168" s="1">
        <v>118.9</v>
      </c>
      <c r="X168" s="1">
        <v>127.7</v>
      </c>
      <c r="Y168" s="1">
        <v>125.7</v>
      </c>
      <c r="Z168" s="1">
        <v>114.6</v>
      </c>
      <c r="AA168" s="1">
        <v>124.1</v>
      </c>
      <c r="AB168" s="1">
        <v>135.69999999999999</v>
      </c>
      <c r="AC168" s="1">
        <v>123.3</v>
      </c>
      <c r="AD168" s="1">
        <v>123.8</v>
      </c>
      <c r="AE168" s="1">
        <v>132.69999999999999</v>
      </c>
      <c r="AF168" s="6">
        <f t="shared" si="8"/>
        <v>136.38461538461536</v>
      </c>
      <c r="AG168" s="6">
        <f t="shared" si="9"/>
        <v>133.33333333333334</v>
      </c>
      <c r="AH168" s="6">
        <f t="shared" si="10"/>
        <v>129.46666666666667</v>
      </c>
      <c r="AI168" s="6">
        <f t="shared" si="11"/>
        <v>126.25999999999999</v>
      </c>
      <c r="AJ168" s="6">
        <f>IFERROR(AVERAGE(Main[[#This Row],[Health]],Main[[#This Row],[Personal care and effects]]),"NA")</f>
        <v>124.5</v>
      </c>
    </row>
    <row r="169" spans="1:36" ht="13.2" x14ac:dyDescent="0.25">
      <c r="A169" s="1" t="s">
        <v>40</v>
      </c>
      <c r="B169" s="1">
        <v>2017</v>
      </c>
      <c r="C169" s="1" t="s">
        <v>47</v>
      </c>
      <c r="D169" s="8">
        <f>DATEVALUE(Main[[#This Row],[Month]]&amp;Main[[#This Row],[Year]])</f>
        <v>42948</v>
      </c>
      <c r="E169" s="1">
        <v>134.30000000000001</v>
      </c>
      <c r="F169" s="1">
        <v>143.4</v>
      </c>
      <c r="G169" s="1">
        <v>129.30000000000001</v>
      </c>
      <c r="H169" s="1">
        <v>139</v>
      </c>
      <c r="I169" s="1">
        <v>118.1</v>
      </c>
      <c r="J169" s="1">
        <v>145.5</v>
      </c>
      <c r="K169" s="1">
        <v>168.6</v>
      </c>
      <c r="L169" s="1">
        <v>132.69999999999999</v>
      </c>
      <c r="M169" s="1">
        <v>121.2</v>
      </c>
      <c r="N169" s="1">
        <v>135.6</v>
      </c>
      <c r="O169" s="1">
        <v>128.69999999999999</v>
      </c>
      <c r="P169" s="1">
        <v>146.80000000000001</v>
      </c>
      <c r="Q169" s="1">
        <v>140.6</v>
      </c>
      <c r="R169" s="1">
        <v>149.80000000000001</v>
      </c>
      <c r="S169" s="1">
        <v>140.30000000000001</v>
      </c>
      <c r="T169" s="1">
        <v>133</v>
      </c>
      <c r="U169" s="1">
        <v>139.30000000000001</v>
      </c>
      <c r="V169" s="1">
        <v>134.4</v>
      </c>
      <c r="W169" s="1">
        <v>129.80000000000001</v>
      </c>
      <c r="X169" s="1">
        <v>132.80000000000001</v>
      </c>
      <c r="Y169" s="1">
        <v>130.19999999999999</v>
      </c>
      <c r="Z169" s="1">
        <v>117.3</v>
      </c>
      <c r="AA169" s="1">
        <v>127.3</v>
      </c>
      <c r="AB169" s="1">
        <v>137.6</v>
      </c>
      <c r="AC169" s="1">
        <v>124.5</v>
      </c>
      <c r="AD169" s="1">
        <v>126.8</v>
      </c>
      <c r="AE169" s="1">
        <v>135.4</v>
      </c>
      <c r="AF169" s="6">
        <f t="shared" si="8"/>
        <v>137.21538461538461</v>
      </c>
      <c r="AG169" s="6">
        <f t="shared" si="9"/>
        <v>134.63333333333335</v>
      </c>
      <c r="AH169" s="6">
        <f t="shared" si="10"/>
        <v>137.53333333333333</v>
      </c>
      <c r="AI169" s="6">
        <f t="shared" si="11"/>
        <v>130.38000000000002</v>
      </c>
      <c r="AJ169" s="6">
        <f>IFERROR(AVERAGE(Main[[#This Row],[Health]],Main[[#This Row],[Personal care and effects]]),"NA")</f>
        <v>127.35</v>
      </c>
    </row>
    <row r="170" spans="1:36" ht="13.2" x14ac:dyDescent="0.25">
      <c r="A170" s="1" t="s">
        <v>36</v>
      </c>
      <c r="B170" s="1">
        <v>2017</v>
      </c>
      <c r="C170" s="1" t="s">
        <v>48</v>
      </c>
      <c r="D170" s="8">
        <f>DATEVALUE(Main[[#This Row],[Month]]&amp;Main[[#This Row],[Year]])</f>
        <v>42979</v>
      </c>
      <c r="E170" s="1">
        <v>135.19999999999999</v>
      </c>
      <c r="F170" s="1">
        <v>142</v>
      </c>
      <c r="G170" s="1">
        <v>130.5</v>
      </c>
      <c r="H170" s="1">
        <v>140.19999999999999</v>
      </c>
      <c r="I170" s="1">
        <v>120.7</v>
      </c>
      <c r="J170" s="1">
        <v>147.80000000000001</v>
      </c>
      <c r="K170" s="1">
        <v>154.5</v>
      </c>
      <c r="L170" s="1">
        <v>137.1</v>
      </c>
      <c r="M170" s="1">
        <v>121</v>
      </c>
      <c r="N170" s="1">
        <v>134.69999999999999</v>
      </c>
      <c r="O170" s="1">
        <v>131.69999999999999</v>
      </c>
      <c r="P170" s="1">
        <v>149.30000000000001</v>
      </c>
      <c r="Q170" s="1">
        <v>139.6</v>
      </c>
      <c r="R170" s="1">
        <v>149.80000000000001</v>
      </c>
      <c r="S170" s="1">
        <v>146.1</v>
      </c>
      <c r="T170" s="1">
        <v>139.69999999999999</v>
      </c>
      <c r="U170" s="1">
        <v>145.19999999999999</v>
      </c>
      <c r="V170" s="1" t="s">
        <v>38</v>
      </c>
      <c r="W170" s="1">
        <v>137.4</v>
      </c>
      <c r="X170" s="1">
        <v>137.9</v>
      </c>
      <c r="Y170" s="1">
        <v>133.4</v>
      </c>
      <c r="Z170" s="1">
        <v>121.2</v>
      </c>
      <c r="AA170" s="1">
        <v>132.30000000000001</v>
      </c>
      <c r="AB170" s="1">
        <v>139.6</v>
      </c>
      <c r="AC170" s="1">
        <v>126.7</v>
      </c>
      <c r="AD170" s="1">
        <v>130.30000000000001</v>
      </c>
      <c r="AE170" s="1">
        <v>137.6</v>
      </c>
      <c r="AF170" s="6">
        <f t="shared" si="8"/>
        <v>137.25384615384615</v>
      </c>
      <c r="AG170" s="6">
        <f t="shared" si="9"/>
        <v>137.46666666666667</v>
      </c>
      <c r="AH170" s="6">
        <f t="shared" si="10"/>
        <v>143.66666666666666</v>
      </c>
      <c r="AI170" s="6">
        <f t="shared" si="11"/>
        <v>134.02500000000001</v>
      </c>
      <c r="AJ170" s="6">
        <f>IFERROR(AVERAGE(Main[[#This Row],[Health]],Main[[#This Row],[Personal care and effects]]),"NA")</f>
        <v>130.05000000000001</v>
      </c>
    </row>
    <row r="171" spans="1:36" ht="13.2" x14ac:dyDescent="0.25">
      <c r="A171" s="1" t="s">
        <v>39</v>
      </c>
      <c r="B171" s="1">
        <v>2017</v>
      </c>
      <c r="C171" s="1" t="s">
        <v>48</v>
      </c>
      <c r="D171" s="8">
        <f>DATEVALUE(Main[[#This Row],[Month]]&amp;Main[[#This Row],[Year]])</f>
        <v>42979</v>
      </c>
      <c r="E171" s="1">
        <v>133.6</v>
      </c>
      <c r="F171" s="1">
        <v>143</v>
      </c>
      <c r="G171" s="1">
        <v>129.69999999999999</v>
      </c>
      <c r="H171" s="1">
        <v>138.69999999999999</v>
      </c>
      <c r="I171" s="1">
        <v>114.5</v>
      </c>
      <c r="J171" s="1">
        <v>137.5</v>
      </c>
      <c r="K171" s="1">
        <v>160.69999999999999</v>
      </c>
      <c r="L171" s="1">
        <v>124.5</v>
      </c>
      <c r="M171" s="1">
        <v>122.4</v>
      </c>
      <c r="N171" s="1">
        <v>137.30000000000001</v>
      </c>
      <c r="O171" s="1">
        <v>124.8</v>
      </c>
      <c r="P171" s="1">
        <v>145</v>
      </c>
      <c r="Q171" s="1">
        <v>138</v>
      </c>
      <c r="R171" s="1">
        <v>153.6</v>
      </c>
      <c r="S171" s="1">
        <v>133.30000000000001</v>
      </c>
      <c r="T171" s="1">
        <v>124.6</v>
      </c>
      <c r="U171" s="1">
        <v>132</v>
      </c>
      <c r="V171" s="1">
        <v>135.69999999999999</v>
      </c>
      <c r="W171" s="1">
        <v>120.6</v>
      </c>
      <c r="X171" s="1">
        <v>128.1</v>
      </c>
      <c r="Y171" s="1">
        <v>126.1</v>
      </c>
      <c r="Z171" s="1">
        <v>115.7</v>
      </c>
      <c r="AA171" s="1">
        <v>124.5</v>
      </c>
      <c r="AB171" s="1">
        <v>135.9</v>
      </c>
      <c r="AC171" s="1">
        <v>124.4</v>
      </c>
      <c r="AD171" s="1">
        <v>124.5</v>
      </c>
      <c r="AE171" s="1">
        <v>132.4</v>
      </c>
      <c r="AF171" s="6">
        <f t="shared" si="8"/>
        <v>134.59230769230768</v>
      </c>
      <c r="AG171" s="6">
        <f t="shared" si="9"/>
        <v>134.20000000000002</v>
      </c>
      <c r="AH171" s="6">
        <f t="shared" si="10"/>
        <v>129.96666666666667</v>
      </c>
      <c r="AI171" s="6">
        <f t="shared" si="11"/>
        <v>127.2</v>
      </c>
      <c r="AJ171" s="6">
        <f>IFERROR(AVERAGE(Main[[#This Row],[Health]],Main[[#This Row],[Personal care and effects]]),"NA")</f>
        <v>125.25</v>
      </c>
    </row>
    <row r="172" spans="1:36" ht="13.2" x14ac:dyDescent="0.25">
      <c r="A172" s="1" t="s">
        <v>40</v>
      </c>
      <c r="B172" s="1">
        <v>2017</v>
      </c>
      <c r="C172" s="1" t="s">
        <v>48</v>
      </c>
      <c r="D172" s="8">
        <f>DATEVALUE(Main[[#This Row],[Month]]&amp;Main[[#This Row],[Year]])</f>
        <v>42979</v>
      </c>
      <c r="E172" s="1">
        <v>134.69999999999999</v>
      </c>
      <c r="F172" s="1">
        <v>142.4</v>
      </c>
      <c r="G172" s="1">
        <v>130.19999999999999</v>
      </c>
      <c r="H172" s="1">
        <v>139.6</v>
      </c>
      <c r="I172" s="1">
        <v>118.4</v>
      </c>
      <c r="J172" s="1">
        <v>143</v>
      </c>
      <c r="K172" s="1">
        <v>156.6</v>
      </c>
      <c r="L172" s="1">
        <v>132.9</v>
      </c>
      <c r="M172" s="1">
        <v>121.5</v>
      </c>
      <c r="N172" s="1">
        <v>135.6</v>
      </c>
      <c r="O172" s="1">
        <v>128.80000000000001</v>
      </c>
      <c r="P172" s="1">
        <v>147.30000000000001</v>
      </c>
      <c r="Q172" s="1">
        <v>139</v>
      </c>
      <c r="R172" s="1">
        <v>150.80000000000001</v>
      </c>
      <c r="S172" s="1">
        <v>141.1</v>
      </c>
      <c r="T172" s="1">
        <v>133.4</v>
      </c>
      <c r="U172" s="1">
        <v>140</v>
      </c>
      <c r="V172" s="1">
        <v>135.69999999999999</v>
      </c>
      <c r="W172" s="1">
        <v>131</v>
      </c>
      <c r="X172" s="1">
        <v>133.30000000000001</v>
      </c>
      <c r="Y172" s="1">
        <v>130.6</v>
      </c>
      <c r="Z172" s="1">
        <v>118.3</v>
      </c>
      <c r="AA172" s="1">
        <v>127.9</v>
      </c>
      <c r="AB172" s="1">
        <v>137.4</v>
      </c>
      <c r="AC172" s="1">
        <v>125.7</v>
      </c>
      <c r="AD172" s="1">
        <v>127.5</v>
      </c>
      <c r="AE172" s="1">
        <v>135.19999999999999</v>
      </c>
      <c r="AF172" s="6">
        <f t="shared" si="8"/>
        <v>136.15384615384613</v>
      </c>
      <c r="AG172" s="6">
        <f t="shared" si="9"/>
        <v>135.4</v>
      </c>
      <c r="AH172" s="6">
        <f t="shared" si="10"/>
        <v>138.16666666666666</v>
      </c>
      <c r="AI172" s="6">
        <f t="shared" si="11"/>
        <v>131.13999999999999</v>
      </c>
      <c r="AJ172" s="6">
        <f>IFERROR(AVERAGE(Main[[#This Row],[Health]],Main[[#This Row],[Personal care and effects]]),"NA")</f>
        <v>128.15</v>
      </c>
    </row>
    <row r="173" spans="1:36" ht="13.2" x14ac:dyDescent="0.25">
      <c r="A173" s="1" t="s">
        <v>36</v>
      </c>
      <c r="B173" s="1">
        <v>2017</v>
      </c>
      <c r="C173" s="1" t="s">
        <v>49</v>
      </c>
      <c r="D173" s="8">
        <f>DATEVALUE(Main[[#This Row],[Month]]&amp;Main[[#This Row],[Year]])</f>
        <v>43009</v>
      </c>
      <c r="E173" s="1">
        <v>135.9</v>
      </c>
      <c r="F173" s="1">
        <v>141.9</v>
      </c>
      <c r="G173" s="1">
        <v>131</v>
      </c>
      <c r="H173" s="1">
        <v>141.5</v>
      </c>
      <c r="I173" s="1">
        <v>121.4</v>
      </c>
      <c r="J173" s="1">
        <v>146.69999999999999</v>
      </c>
      <c r="K173" s="1">
        <v>157.1</v>
      </c>
      <c r="L173" s="1">
        <v>136.4</v>
      </c>
      <c r="M173" s="1">
        <v>121.4</v>
      </c>
      <c r="N173" s="1">
        <v>135.6</v>
      </c>
      <c r="O173" s="1">
        <v>131.30000000000001</v>
      </c>
      <c r="P173" s="1">
        <v>150.30000000000001</v>
      </c>
      <c r="Q173" s="1">
        <v>140.4</v>
      </c>
      <c r="R173" s="1">
        <v>150.5</v>
      </c>
      <c r="S173" s="1">
        <v>147.19999999999999</v>
      </c>
      <c r="T173" s="1">
        <v>140.6</v>
      </c>
      <c r="U173" s="1">
        <v>146.19999999999999</v>
      </c>
      <c r="V173" s="1" t="s">
        <v>38</v>
      </c>
      <c r="W173" s="1">
        <v>138.1</v>
      </c>
      <c r="X173" s="1">
        <v>138.4</v>
      </c>
      <c r="Y173" s="1">
        <v>134.19999999999999</v>
      </c>
      <c r="Z173" s="1">
        <v>121</v>
      </c>
      <c r="AA173" s="1">
        <v>133</v>
      </c>
      <c r="AB173" s="1">
        <v>140.1</v>
      </c>
      <c r="AC173" s="1">
        <v>127.4</v>
      </c>
      <c r="AD173" s="1">
        <v>130.69999999999999</v>
      </c>
      <c r="AE173" s="1">
        <v>138.30000000000001</v>
      </c>
      <c r="AF173" s="6">
        <f t="shared" si="8"/>
        <v>137.76153846153846</v>
      </c>
      <c r="AG173" s="6">
        <f t="shared" si="9"/>
        <v>138.06666666666666</v>
      </c>
      <c r="AH173" s="6">
        <f t="shared" si="10"/>
        <v>144.66666666666666</v>
      </c>
      <c r="AI173" s="6">
        <f t="shared" si="11"/>
        <v>134.4</v>
      </c>
      <c r="AJ173" s="6">
        <f>IFERROR(AVERAGE(Main[[#This Row],[Health]],Main[[#This Row],[Personal care and effects]]),"NA")</f>
        <v>130.80000000000001</v>
      </c>
    </row>
    <row r="174" spans="1:36" ht="13.2" x14ac:dyDescent="0.25">
      <c r="A174" s="1" t="s">
        <v>39</v>
      </c>
      <c r="B174" s="1">
        <v>2017</v>
      </c>
      <c r="C174" s="1" t="s">
        <v>49</v>
      </c>
      <c r="D174" s="8">
        <f>DATEVALUE(Main[[#This Row],[Month]]&amp;Main[[#This Row],[Year]])</f>
        <v>43009</v>
      </c>
      <c r="E174" s="1">
        <v>133.9</v>
      </c>
      <c r="F174" s="1">
        <v>142.80000000000001</v>
      </c>
      <c r="G174" s="1">
        <v>131.4</v>
      </c>
      <c r="H174" s="1">
        <v>139.1</v>
      </c>
      <c r="I174" s="1">
        <v>114.9</v>
      </c>
      <c r="J174" s="1">
        <v>135.6</v>
      </c>
      <c r="K174" s="1">
        <v>173.2</v>
      </c>
      <c r="L174" s="1">
        <v>124.1</v>
      </c>
      <c r="M174" s="1">
        <v>122.6</v>
      </c>
      <c r="N174" s="1">
        <v>137.80000000000001</v>
      </c>
      <c r="O174" s="1">
        <v>125.1</v>
      </c>
      <c r="P174" s="1">
        <v>145.5</v>
      </c>
      <c r="Q174" s="1">
        <v>139.69999999999999</v>
      </c>
      <c r="R174" s="1">
        <v>154.6</v>
      </c>
      <c r="S174" s="1">
        <v>134</v>
      </c>
      <c r="T174" s="1">
        <v>124.9</v>
      </c>
      <c r="U174" s="1">
        <v>132.6</v>
      </c>
      <c r="V174" s="1">
        <v>137.30000000000001</v>
      </c>
      <c r="W174" s="1">
        <v>122.6</v>
      </c>
      <c r="X174" s="1">
        <v>128.30000000000001</v>
      </c>
      <c r="Y174" s="1">
        <v>126.6</v>
      </c>
      <c r="Z174" s="1">
        <v>115</v>
      </c>
      <c r="AA174" s="1">
        <v>124.8</v>
      </c>
      <c r="AB174" s="1">
        <v>136.30000000000001</v>
      </c>
      <c r="AC174" s="1">
        <v>124.6</v>
      </c>
      <c r="AD174" s="1">
        <v>124.5</v>
      </c>
      <c r="AE174" s="1">
        <v>133.5</v>
      </c>
      <c r="AF174" s="6">
        <f t="shared" si="8"/>
        <v>135.82307692307691</v>
      </c>
      <c r="AG174" s="6">
        <f t="shared" si="9"/>
        <v>134.63333333333333</v>
      </c>
      <c r="AH174" s="6">
        <f t="shared" si="10"/>
        <v>130.5</v>
      </c>
      <c r="AI174" s="6">
        <f t="shared" si="11"/>
        <v>127.9</v>
      </c>
      <c r="AJ174" s="6">
        <f>IFERROR(AVERAGE(Main[[#This Row],[Health]],Main[[#This Row],[Personal care and effects]]),"NA")</f>
        <v>125.6</v>
      </c>
    </row>
    <row r="175" spans="1:36" ht="13.2" x14ac:dyDescent="0.25">
      <c r="A175" s="1" t="s">
        <v>40</v>
      </c>
      <c r="B175" s="1">
        <v>2017</v>
      </c>
      <c r="C175" s="1" t="s">
        <v>49</v>
      </c>
      <c r="D175" s="8">
        <f>DATEVALUE(Main[[#This Row],[Month]]&amp;Main[[#This Row],[Year]])</f>
        <v>43009</v>
      </c>
      <c r="E175" s="1">
        <v>135.30000000000001</v>
      </c>
      <c r="F175" s="1">
        <v>142.19999999999999</v>
      </c>
      <c r="G175" s="1">
        <v>131.19999999999999</v>
      </c>
      <c r="H175" s="1">
        <v>140.6</v>
      </c>
      <c r="I175" s="1">
        <v>119</v>
      </c>
      <c r="J175" s="1">
        <v>141.5</v>
      </c>
      <c r="K175" s="1">
        <v>162.6</v>
      </c>
      <c r="L175" s="1">
        <v>132.30000000000001</v>
      </c>
      <c r="M175" s="1">
        <v>121.8</v>
      </c>
      <c r="N175" s="1">
        <v>136.30000000000001</v>
      </c>
      <c r="O175" s="1">
        <v>128.69999999999999</v>
      </c>
      <c r="P175" s="1">
        <v>148.1</v>
      </c>
      <c r="Q175" s="1">
        <v>140.1</v>
      </c>
      <c r="R175" s="1">
        <v>151.6</v>
      </c>
      <c r="S175" s="1">
        <v>142</v>
      </c>
      <c r="T175" s="1">
        <v>134.1</v>
      </c>
      <c r="U175" s="1">
        <v>140.80000000000001</v>
      </c>
      <c r="V175" s="1">
        <v>137.30000000000001</v>
      </c>
      <c r="W175" s="1">
        <v>132.19999999999999</v>
      </c>
      <c r="X175" s="1">
        <v>133.6</v>
      </c>
      <c r="Y175" s="1">
        <v>131.30000000000001</v>
      </c>
      <c r="Z175" s="1">
        <v>117.8</v>
      </c>
      <c r="AA175" s="1">
        <v>128.4</v>
      </c>
      <c r="AB175" s="1">
        <v>137.9</v>
      </c>
      <c r="AC175" s="1">
        <v>126.2</v>
      </c>
      <c r="AD175" s="1">
        <v>127.7</v>
      </c>
      <c r="AE175" s="1">
        <v>136.1</v>
      </c>
      <c r="AF175" s="6">
        <f t="shared" si="8"/>
        <v>136.89999999999998</v>
      </c>
      <c r="AG175" s="6">
        <f t="shared" si="9"/>
        <v>135.9</v>
      </c>
      <c r="AH175" s="6">
        <f t="shared" si="10"/>
        <v>138.96666666666667</v>
      </c>
      <c r="AI175" s="6">
        <f t="shared" si="11"/>
        <v>131.76</v>
      </c>
      <c r="AJ175" s="6">
        <f>IFERROR(AVERAGE(Main[[#This Row],[Health]],Main[[#This Row],[Personal care and effects]]),"NA")</f>
        <v>128.75</v>
      </c>
    </row>
    <row r="176" spans="1:36" ht="13.2" x14ac:dyDescent="0.25">
      <c r="A176" s="1" t="s">
        <v>36</v>
      </c>
      <c r="B176" s="1">
        <v>2017</v>
      </c>
      <c r="C176" s="1" t="s">
        <v>50</v>
      </c>
      <c r="D176" s="8">
        <f>DATEVALUE(Main[[#This Row],[Month]]&amp;Main[[#This Row],[Year]])</f>
        <v>43040</v>
      </c>
      <c r="E176" s="1">
        <v>136.30000000000001</v>
      </c>
      <c r="F176" s="1">
        <v>142.5</v>
      </c>
      <c r="G176" s="1">
        <v>140.5</v>
      </c>
      <c r="H176" s="1">
        <v>141.5</v>
      </c>
      <c r="I176" s="1">
        <v>121.6</v>
      </c>
      <c r="J176" s="1">
        <v>147.30000000000001</v>
      </c>
      <c r="K176" s="1">
        <v>168</v>
      </c>
      <c r="L176" s="1">
        <v>135.80000000000001</v>
      </c>
      <c r="M176" s="1">
        <v>122.5</v>
      </c>
      <c r="N176" s="1">
        <v>136</v>
      </c>
      <c r="O176" s="1">
        <v>131.9</v>
      </c>
      <c r="P176" s="1">
        <v>151.4</v>
      </c>
      <c r="Q176" s="1">
        <v>142.4</v>
      </c>
      <c r="R176" s="1">
        <v>152.1</v>
      </c>
      <c r="S176" s="1">
        <v>148.19999999999999</v>
      </c>
      <c r="T176" s="1">
        <v>141.5</v>
      </c>
      <c r="U176" s="1">
        <v>147.30000000000001</v>
      </c>
      <c r="V176" s="1" t="s">
        <v>38</v>
      </c>
      <c r="W176" s="1">
        <v>141.1</v>
      </c>
      <c r="X176" s="1">
        <v>139.4</v>
      </c>
      <c r="Y176" s="1">
        <v>135.80000000000001</v>
      </c>
      <c r="Z176" s="1">
        <v>121.6</v>
      </c>
      <c r="AA176" s="1">
        <v>133.69999999999999</v>
      </c>
      <c r="AB176" s="1">
        <v>141.5</v>
      </c>
      <c r="AC176" s="1">
        <v>128.1</v>
      </c>
      <c r="AD176" s="1">
        <v>131.69999999999999</v>
      </c>
      <c r="AE176" s="1">
        <v>140</v>
      </c>
      <c r="AF176" s="6">
        <f t="shared" si="8"/>
        <v>139.82307692307694</v>
      </c>
      <c r="AG176" s="6">
        <f t="shared" si="9"/>
        <v>139.16666666666666</v>
      </c>
      <c r="AH176" s="6">
        <f t="shared" si="10"/>
        <v>145.66666666666666</v>
      </c>
      <c r="AI176" s="6">
        <f t="shared" si="11"/>
        <v>135.9</v>
      </c>
      <c r="AJ176" s="6">
        <f>IFERROR(AVERAGE(Main[[#This Row],[Health]],Main[[#This Row],[Personal care and effects]]),"NA")</f>
        <v>131.94999999999999</v>
      </c>
    </row>
    <row r="177" spans="1:36" ht="13.2" x14ac:dyDescent="0.25">
      <c r="A177" s="1" t="s">
        <v>39</v>
      </c>
      <c r="B177" s="1">
        <v>2017</v>
      </c>
      <c r="C177" s="1" t="s">
        <v>50</v>
      </c>
      <c r="D177" s="8">
        <f>DATEVALUE(Main[[#This Row],[Month]]&amp;Main[[#This Row],[Year]])</f>
        <v>43040</v>
      </c>
      <c r="E177" s="1">
        <v>134.30000000000001</v>
      </c>
      <c r="F177" s="1">
        <v>142.1</v>
      </c>
      <c r="G177" s="1">
        <v>146.69999999999999</v>
      </c>
      <c r="H177" s="1">
        <v>139.5</v>
      </c>
      <c r="I177" s="1">
        <v>115.2</v>
      </c>
      <c r="J177" s="1">
        <v>136.4</v>
      </c>
      <c r="K177" s="1">
        <v>185.2</v>
      </c>
      <c r="L177" s="1">
        <v>122.2</v>
      </c>
      <c r="M177" s="1">
        <v>123.9</v>
      </c>
      <c r="N177" s="1">
        <v>138.30000000000001</v>
      </c>
      <c r="O177" s="1">
        <v>125.4</v>
      </c>
      <c r="P177" s="1">
        <v>146</v>
      </c>
      <c r="Q177" s="1">
        <v>141.5</v>
      </c>
      <c r="R177" s="1">
        <v>156.19999999999999</v>
      </c>
      <c r="S177" s="1">
        <v>135</v>
      </c>
      <c r="T177" s="1">
        <v>125.4</v>
      </c>
      <c r="U177" s="1">
        <v>133.5</v>
      </c>
      <c r="V177" s="1">
        <v>138.6</v>
      </c>
      <c r="W177" s="1">
        <v>125.7</v>
      </c>
      <c r="X177" s="1">
        <v>128.80000000000001</v>
      </c>
      <c r="Y177" s="1">
        <v>127.4</v>
      </c>
      <c r="Z177" s="1">
        <v>115.3</v>
      </c>
      <c r="AA177" s="1">
        <v>125.1</v>
      </c>
      <c r="AB177" s="1">
        <v>136.6</v>
      </c>
      <c r="AC177" s="1">
        <v>124.9</v>
      </c>
      <c r="AD177" s="1">
        <v>124.9</v>
      </c>
      <c r="AE177" s="1">
        <v>134.80000000000001</v>
      </c>
      <c r="AF177" s="6">
        <f t="shared" si="8"/>
        <v>138.2076923076923</v>
      </c>
      <c r="AG177" s="6">
        <f t="shared" si="9"/>
        <v>135.39999999999998</v>
      </c>
      <c r="AH177" s="6">
        <f t="shared" si="10"/>
        <v>131.29999999999998</v>
      </c>
      <c r="AI177" s="6">
        <f t="shared" si="11"/>
        <v>129</v>
      </c>
      <c r="AJ177" s="6">
        <f>IFERROR(AVERAGE(Main[[#This Row],[Health]],Main[[#This Row],[Personal care and effects]]),"NA")</f>
        <v>126.15</v>
      </c>
    </row>
    <row r="178" spans="1:36" ht="13.2" x14ac:dyDescent="0.25">
      <c r="A178" s="1" t="s">
        <v>40</v>
      </c>
      <c r="B178" s="1">
        <v>2017</v>
      </c>
      <c r="C178" s="1" t="s">
        <v>50</v>
      </c>
      <c r="D178" s="8">
        <f>DATEVALUE(Main[[#This Row],[Month]]&amp;Main[[#This Row],[Year]])</f>
        <v>43040</v>
      </c>
      <c r="E178" s="1">
        <v>135.69999999999999</v>
      </c>
      <c r="F178" s="1">
        <v>142.4</v>
      </c>
      <c r="G178" s="1">
        <v>142.9</v>
      </c>
      <c r="H178" s="1">
        <v>140.80000000000001</v>
      </c>
      <c r="I178" s="1">
        <v>119.2</v>
      </c>
      <c r="J178" s="1">
        <v>142.19999999999999</v>
      </c>
      <c r="K178" s="1">
        <v>173.8</v>
      </c>
      <c r="L178" s="1">
        <v>131.19999999999999</v>
      </c>
      <c r="M178" s="1">
        <v>123</v>
      </c>
      <c r="N178" s="1">
        <v>136.80000000000001</v>
      </c>
      <c r="O178" s="1">
        <v>129.19999999999999</v>
      </c>
      <c r="P178" s="1">
        <v>148.9</v>
      </c>
      <c r="Q178" s="1">
        <v>142.1</v>
      </c>
      <c r="R178" s="1">
        <v>153.19999999999999</v>
      </c>
      <c r="S178" s="1">
        <v>143</v>
      </c>
      <c r="T178" s="1">
        <v>134.80000000000001</v>
      </c>
      <c r="U178" s="1">
        <v>141.80000000000001</v>
      </c>
      <c r="V178" s="1">
        <v>138.6</v>
      </c>
      <c r="W178" s="1">
        <v>135.30000000000001</v>
      </c>
      <c r="X178" s="1">
        <v>134.4</v>
      </c>
      <c r="Y178" s="1">
        <v>132.6</v>
      </c>
      <c r="Z178" s="1">
        <v>118.3</v>
      </c>
      <c r="AA178" s="1">
        <v>128.9</v>
      </c>
      <c r="AB178" s="1">
        <v>138.6</v>
      </c>
      <c r="AC178" s="1">
        <v>126.8</v>
      </c>
      <c r="AD178" s="1">
        <v>128.4</v>
      </c>
      <c r="AE178" s="1">
        <v>137.6</v>
      </c>
      <c r="AF178" s="6">
        <f t="shared" si="8"/>
        <v>139.09230769230768</v>
      </c>
      <c r="AG178" s="6">
        <f t="shared" si="9"/>
        <v>136.83333333333334</v>
      </c>
      <c r="AH178" s="6">
        <f t="shared" si="10"/>
        <v>139.86666666666667</v>
      </c>
      <c r="AI178" s="6">
        <f t="shared" si="11"/>
        <v>133.04</v>
      </c>
      <c r="AJ178" s="6">
        <f>IFERROR(AVERAGE(Main[[#This Row],[Health]],Main[[#This Row],[Personal care and effects]]),"NA")</f>
        <v>129.69999999999999</v>
      </c>
    </row>
    <row r="179" spans="1:36" ht="13.2" x14ac:dyDescent="0.25">
      <c r="A179" s="1" t="s">
        <v>36</v>
      </c>
      <c r="B179" s="1">
        <v>2017</v>
      </c>
      <c r="C179" s="1" t="s">
        <v>51</v>
      </c>
      <c r="D179" s="8">
        <f>DATEVALUE(Main[[#This Row],[Month]]&amp;Main[[#This Row],[Year]])</f>
        <v>43070</v>
      </c>
      <c r="E179" s="1">
        <v>136.4</v>
      </c>
      <c r="F179" s="1">
        <v>143.69999999999999</v>
      </c>
      <c r="G179" s="1">
        <v>144.80000000000001</v>
      </c>
      <c r="H179" s="1">
        <v>141.9</v>
      </c>
      <c r="I179" s="1">
        <v>123.1</v>
      </c>
      <c r="J179" s="1">
        <v>147.19999999999999</v>
      </c>
      <c r="K179" s="1">
        <v>161</v>
      </c>
      <c r="L179" s="1">
        <v>133.80000000000001</v>
      </c>
      <c r="M179" s="1">
        <v>121.9</v>
      </c>
      <c r="N179" s="1">
        <v>135.80000000000001</v>
      </c>
      <c r="O179" s="1">
        <v>131.1</v>
      </c>
      <c r="P179" s="1">
        <v>151.4</v>
      </c>
      <c r="Q179" s="1">
        <v>141.5</v>
      </c>
      <c r="R179" s="1">
        <v>153.19999999999999</v>
      </c>
      <c r="S179" s="1">
        <v>148</v>
      </c>
      <c r="T179" s="1">
        <v>141.9</v>
      </c>
      <c r="U179" s="1">
        <v>147.19999999999999</v>
      </c>
      <c r="V179" s="1" t="s">
        <v>38</v>
      </c>
      <c r="W179" s="1">
        <v>142.6</v>
      </c>
      <c r="X179" s="1">
        <v>139.5</v>
      </c>
      <c r="Y179" s="1">
        <v>136.1</v>
      </c>
      <c r="Z179" s="1">
        <v>122</v>
      </c>
      <c r="AA179" s="1">
        <v>133.4</v>
      </c>
      <c r="AB179" s="1">
        <v>141.1</v>
      </c>
      <c r="AC179" s="1">
        <v>127.8</v>
      </c>
      <c r="AD179" s="1">
        <v>131.9</v>
      </c>
      <c r="AE179" s="1">
        <v>139.80000000000001</v>
      </c>
      <c r="AF179" s="6">
        <f t="shared" si="8"/>
        <v>139.50769230769231</v>
      </c>
      <c r="AG179" s="6">
        <f t="shared" si="9"/>
        <v>139.5</v>
      </c>
      <c r="AH179" s="6">
        <f t="shared" si="10"/>
        <v>145.69999999999999</v>
      </c>
      <c r="AI179" s="6">
        <f t="shared" si="11"/>
        <v>136.30000000000001</v>
      </c>
      <c r="AJ179" s="6">
        <f>IFERROR(AVERAGE(Main[[#This Row],[Health]],Main[[#This Row],[Personal care and effects]]),"NA")</f>
        <v>131.94999999999999</v>
      </c>
    </row>
    <row r="180" spans="1:36" ht="13.2" x14ac:dyDescent="0.25">
      <c r="A180" s="1" t="s">
        <v>39</v>
      </c>
      <c r="B180" s="1">
        <v>2017</v>
      </c>
      <c r="C180" s="1" t="s">
        <v>51</v>
      </c>
      <c r="D180" s="8">
        <f>DATEVALUE(Main[[#This Row],[Month]]&amp;Main[[#This Row],[Year]])</f>
        <v>43070</v>
      </c>
      <c r="E180" s="1">
        <v>134.4</v>
      </c>
      <c r="F180" s="1">
        <v>142.6</v>
      </c>
      <c r="G180" s="1">
        <v>145.9</v>
      </c>
      <c r="H180" s="1">
        <v>139.5</v>
      </c>
      <c r="I180" s="1">
        <v>115.9</v>
      </c>
      <c r="J180" s="1">
        <v>135</v>
      </c>
      <c r="K180" s="1">
        <v>163.19999999999999</v>
      </c>
      <c r="L180" s="1">
        <v>119.8</v>
      </c>
      <c r="M180" s="1">
        <v>120.7</v>
      </c>
      <c r="N180" s="1">
        <v>139.69999999999999</v>
      </c>
      <c r="O180" s="1">
        <v>125.7</v>
      </c>
      <c r="P180" s="1">
        <v>146.30000000000001</v>
      </c>
      <c r="Q180" s="1">
        <v>138.80000000000001</v>
      </c>
      <c r="R180" s="1">
        <v>157</v>
      </c>
      <c r="S180" s="1">
        <v>135.6</v>
      </c>
      <c r="T180" s="1">
        <v>125.6</v>
      </c>
      <c r="U180" s="1">
        <v>134</v>
      </c>
      <c r="V180" s="1">
        <v>139.1</v>
      </c>
      <c r="W180" s="1">
        <v>126.8</v>
      </c>
      <c r="X180" s="1">
        <v>129.30000000000001</v>
      </c>
      <c r="Y180" s="1">
        <v>128.19999999999999</v>
      </c>
      <c r="Z180" s="1">
        <v>115.3</v>
      </c>
      <c r="AA180" s="1">
        <v>125.6</v>
      </c>
      <c r="AB180" s="1">
        <v>136.69999999999999</v>
      </c>
      <c r="AC180" s="1">
        <v>124.6</v>
      </c>
      <c r="AD180" s="1">
        <v>125.1</v>
      </c>
      <c r="AE180" s="1">
        <v>134.1</v>
      </c>
      <c r="AF180" s="6">
        <f t="shared" si="8"/>
        <v>135.96153846153845</v>
      </c>
      <c r="AG180" s="6">
        <f t="shared" si="9"/>
        <v>135.9</v>
      </c>
      <c r="AH180" s="6">
        <f t="shared" si="10"/>
        <v>131.73333333333332</v>
      </c>
      <c r="AI180" s="6">
        <f t="shared" si="11"/>
        <v>129.44</v>
      </c>
      <c r="AJ180" s="6">
        <f>IFERROR(AVERAGE(Main[[#This Row],[Health]],Main[[#This Row],[Personal care and effects]]),"NA")</f>
        <v>126.39999999999999</v>
      </c>
    </row>
    <row r="181" spans="1:36" ht="13.2" x14ac:dyDescent="0.25">
      <c r="A181" s="1" t="s">
        <v>40</v>
      </c>
      <c r="B181" s="1">
        <v>2017</v>
      </c>
      <c r="C181" s="1" t="s">
        <v>51</v>
      </c>
      <c r="D181" s="8">
        <f>DATEVALUE(Main[[#This Row],[Month]]&amp;Main[[#This Row],[Year]])</f>
        <v>43070</v>
      </c>
      <c r="E181" s="1">
        <v>135.80000000000001</v>
      </c>
      <c r="F181" s="1">
        <v>143.30000000000001</v>
      </c>
      <c r="G181" s="1">
        <v>145.19999999999999</v>
      </c>
      <c r="H181" s="1">
        <v>141</v>
      </c>
      <c r="I181" s="1">
        <v>120.5</v>
      </c>
      <c r="J181" s="1">
        <v>141.5</v>
      </c>
      <c r="K181" s="1">
        <v>161.69999999999999</v>
      </c>
      <c r="L181" s="1">
        <v>129.1</v>
      </c>
      <c r="M181" s="1">
        <v>121.5</v>
      </c>
      <c r="N181" s="1">
        <v>137.1</v>
      </c>
      <c r="O181" s="1">
        <v>128.80000000000001</v>
      </c>
      <c r="P181" s="1">
        <v>149</v>
      </c>
      <c r="Q181" s="1">
        <v>140.5</v>
      </c>
      <c r="R181" s="1">
        <v>154.19999999999999</v>
      </c>
      <c r="S181" s="1">
        <v>143.1</v>
      </c>
      <c r="T181" s="1">
        <v>135.1</v>
      </c>
      <c r="U181" s="1">
        <v>142</v>
      </c>
      <c r="V181" s="1">
        <v>139.1</v>
      </c>
      <c r="W181" s="1">
        <v>136.6</v>
      </c>
      <c r="X181" s="1">
        <v>134.69999999999999</v>
      </c>
      <c r="Y181" s="1">
        <v>133.1</v>
      </c>
      <c r="Z181" s="1">
        <v>118.5</v>
      </c>
      <c r="AA181" s="1">
        <v>129</v>
      </c>
      <c r="AB181" s="1">
        <v>138.5</v>
      </c>
      <c r="AC181" s="1">
        <v>126.5</v>
      </c>
      <c r="AD181" s="1">
        <v>128.6</v>
      </c>
      <c r="AE181" s="1">
        <v>137.19999999999999</v>
      </c>
      <c r="AF181" s="6">
        <f t="shared" si="8"/>
        <v>138.07692307692307</v>
      </c>
      <c r="AG181" s="6">
        <f t="shared" si="9"/>
        <v>137.26666666666665</v>
      </c>
      <c r="AH181" s="6">
        <f t="shared" si="10"/>
        <v>140.06666666666666</v>
      </c>
      <c r="AI181" s="6">
        <f t="shared" si="11"/>
        <v>133.47999999999999</v>
      </c>
      <c r="AJ181" s="6">
        <f>IFERROR(AVERAGE(Main[[#This Row],[Health]],Main[[#This Row],[Personal care and effects]]),"NA")</f>
        <v>129.80000000000001</v>
      </c>
    </row>
    <row r="182" spans="1:36" ht="13.2" x14ac:dyDescent="0.25">
      <c r="A182" s="1" t="s">
        <v>36</v>
      </c>
      <c r="B182" s="1">
        <v>2018</v>
      </c>
      <c r="C182" s="1" t="s">
        <v>37</v>
      </c>
      <c r="D182" s="8">
        <f>DATEVALUE(Main[[#This Row],[Month]]&amp;Main[[#This Row],[Year]])</f>
        <v>43101</v>
      </c>
      <c r="E182" s="1">
        <v>136.6</v>
      </c>
      <c r="F182" s="1">
        <v>144.4</v>
      </c>
      <c r="G182" s="1">
        <v>143.80000000000001</v>
      </c>
      <c r="H182" s="1">
        <v>142</v>
      </c>
      <c r="I182" s="1">
        <v>123.2</v>
      </c>
      <c r="J182" s="1">
        <v>147.9</v>
      </c>
      <c r="K182" s="1">
        <v>152.1</v>
      </c>
      <c r="L182" s="1">
        <v>131.80000000000001</v>
      </c>
      <c r="M182" s="1">
        <v>119.5</v>
      </c>
      <c r="N182" s="1">
        <v>136</v>
      </c>
      <c r="O182" s="1">
        <v>131.19999999999999</v>
      </c>
      <c r="P182" s="1">
        <v>151.80000000000001</v>
      </c>
      <c r="Q182" s="1">
        <v>140.4</v>
      </c>
      <c r="R182" s="1">
        <v>153.6</v>
      </c>
      <c r="S182" s="1">
        <v>148.30000000000001</v>
      </c>
      <c r="T182" s="1">
        <v>142.30000000000001</v>
      </c>
      <c r="U182" s="1">
        <v>147.5</v>
      </c>
      <c r="V182" s="1" t="s">
        <v>38</v>
      </c>
      <c r="W182" s="1">
        <v>142.30000000000001</v>
      </c>
      <c r="X182" s="1">
        <v>139.80000000000001</v>
      </c>
      <c r="Y182" s="1">
        <v>136</v>
      </c>
      <c r="Z182" s="1">
        <v>122.7</v>
      </c>
      <c r="AA182" s="1">
        <v>134.30000000000001</v>
      </c>
      <c r="AB182" s="1">
        <v>141.6</v>
      </c>
      <c r="AC182" s="1">
        <v>128.6</v>
      </c>
      <c r="AD182" s="1">
        <v>132.30000000000001</v>
      </c>
      <c r="AE182" s="1">
        <v>139.30000000000001</v>
      </c>
      <c r="AF182" s="6">
        <f t="shared" si="8"/>
        <v>138.51538461538462</v>
      </c>
      <c r="AG182" s="6">
        <f t="shared" si="9"/>
        <v>140.06666666666666</v>
      </c>
      <c r="AH182" s="6">
        <f t="shared" si="10"/>
        <v>146.03333333333333</v>
      </c>
      <c r="AI182" s="6">
        <f t="shared" si="11"/>
        <v>136.6</v>
      </c>
      <c r="AJ182" s="6">
        <f>IFERROR(AVERAGE(Main[[#This Row],[Health]],Main[[#This Row],[Personal care and effects]]),"NA")</f>
        <v>132.30000000000001</v>
      </c>
    </row>
    <row r="183" spans="1:36" ht="13.2" x14ac:dyDescent="0.25">
      <c r="A183" s="1" t="s">
        <v>39</v>
      </c>
      <c r="B183" s="1">
        <v>2018</v>
      </c>
      <c r="C183" s="1" t="s">
        <v>37</v>
      </c>
      <c r="D183" s="8">
        <f>DATEVALUE(Main[[#This Row],[Month]]&amp;Main[[#This Row],[Year]])</f>
        <v>43101</v>
      </c>
      <c r="E183" s="1">
        <v>134.6</v>
      </c>
      <c r="F183" s="1">
        <v>143.69999999999999</v>
      </c>
      <c r="G183" s="1">
        <v>143.6</v>
      </c>
      <c r="H183" s="1">
        <v>139.6</v>
      </c>
      <c r="I183" s="1">
        <v>116.4</v>
      </c>
      <c r="J183" s="1">
        <v>133.80000000000001</v>
      </c>
      <c r="K183" s="1">
        <v>150.5</v>
      </c>
      <c r="L183" s="1">
        <v>118.4</v>
      </c>
      <c r="M183" s="1">
        <v>117.3</v>
      </c>
      <c r="N183" s="1">
        <v>140.5</v>
      </c>
      <c r="O183" s="1">
        <v>125.9</v>
      </c>
      <c r="P183" s="1">
        <v>146.80000000000001</v>
      </c>
      <c r="Q183" s="1">
        <v>137.19999999999999</v>
      </c>
      <c r="R183" s="1">
        <v>157.69999999999999</v>
      </c>
      <c r="S183" s="1">
        <v>136</v>
      </c>
      <c r="T183" s="1">
        <v>125.9</v>
      </c>
      <c r="U183" s="1">
        <v>134.4</v>
      </c>
      <c r="V183" s="1">
        <v>140.4</v>
      </c>
      <c r="W183" s="1">
        <v>127.3</v>
      </c>
      <c r="X183" s="1">
        <v>129.5</v>
      </c>
      <c r="Y183" s="1">
        <v>129</v>
      </c>
      <c r="Z183" s="1">
        <v>116.3</v>
      </c>
      <c r="AA183" s="1">
        <v>126.2</v>
      </c>
      <c r="AB183" s="1">
        <v>137.1</v>
      </c>
      <c r="AC183" s="1">
        <v>125.5</v>
      </c>
      <c r="AD183" s="1">
        <v>125.8</v>
      </c>
      <c r="AE183" s="1">
        <v>134.1</v>
      </c>
      <c r="AF183" s="6">
        <f t="shared" si="8"/>
        <v>134.48461538461541</v>
      </c>
      <c r="AG183" s="6">
        <f t="shared" si="9"/>
        <v>136.56666666666666</v>
      </c>
      <c r="AH183" s="6">
        <f t="shared" si="10"/>
        <v>132.1</v>
      </c>
      <c r="AI183" s="6">
        <f t="shared" si="11"/>
        <v>130.12</v>
      </c>
      <c r="AJ183" s="6">
        <f>IFERROR(AVERAGE(Main[[#This Row],[Health]],Main[[#This Row],[Personal care and effects]]),"NA")</f>
        <v>127.25</v>
      </c>
    </row>
    <row r="184" spans="1:36" ht="13.2" x14ac:dyDescent="0.25">
      <c r="A184" s="1" t="s">
        <v>40</v>
      </c>
      <c r="B184" s="1">
        <v>2018</v>
      </c>
      <c r="C184" s="1" t="s">
        <v>37</v>
      </c>
      <c r="D184" s="8">
        <f>DATEVALUE(Main[[#This Row],[Month]]&amp;Main[[#This Row],[Year]])</f>
        <v>43101</v>
      </c>
      <c r="E184" s="1">
        <v>136</v>
      </c>
      <c r="F184" s="1">
        <v>144.19999999999999</v>
      </c>
      <c r="G184" s="1">
        <v>143.69999999999999</v>
      </c>
      <c r="H184" s="1">
        <v>141.1</v>
      </c>
      <c r="I184" s="1">
        <v>120.7</v>
      </c>
      <c r="J184" s="1">
        <v>141.30000000000001</v>
      </c>
      <c r="K184" s="1">
        <v>151.6</v>
      </c>
      <c r="L184" s="1">
        <v>127.3</v>
      </c>
      <c r="M184" s="1">
        <v>118.8</v>
      </c>
      <c r="N184" s="1">
        <v>137.5</v>
      </c>
      <c r="O184" s="1">
        <v>129</v>
      </c>
      <c r="P184" s="1">
        <v>149.5</v>
      </c>
      <c r="Q184" s="1">
        <v>139.19999999999999</v>
      </c>
      <c r="R184" s="1">
        <v>154.69999999999999</v>
      </c>
      <c r="S184" s="1">
        <v>143.5</v>
      </c>
      <c r="T184" s="1">
        <v>135.5</v>
      </c>
      <c r="U184" s="1">
        <v>142.30000000000001</v>
      </c>
      <c r="V184" s="1">
        <v>140.4</v>
      </c>
      <c r="W184" s="1">
        <v>136.6</v>
      </c>
      <c r="X184" s="1">
        <v>134.9</v>
      </c>
      <c r="Y184" s="1">
        <v>133.30000000000001</v>
      </c>
      <c r="Z184" s="1">
        <v>119.3</v>
      </c>
      <c r="AA184" s="1">
        <v>129.69999999999999</v>
      </c>
      <c r="AB184" s="1">
        <v>139</v>
      </c>
      <c r="AC184" s="1">
        <v>127.3</v>
      </c>
      <c r="AD184" s="1">
        <v>129.1</v>
      </c>
      <c r="AE184" s="1">
        <v>136.9</v>
      </c>
      <c r="AF184" s="6">
        <f t="shared" si="8"/>
        <v>136.91538461538462</v>
      </c>
      <c r="AG184" s="6">
        <f t="shared" si="9"/>
        <v>137.83333333333334</v>
      </c>
      <c r="AH184" s="6">
        <f t="shared" si="10"/>
        <v>140.43333333333334</v>
      </c>
      <c r="AI184" s="6">
        <f t="shared" si="11"/>
        <v>134.04</v>
      </c>
      <c r="AJ184" s="6">
        <f>IFERROR(AVERAGE(Main[[#This Row],[Health]],Main[[#This Row],[Personal care and effects]]),"NA")</f>
        <v>130.30000000000001</v>
      </c>
    </row>
    <row r="185" spans="1:36" ht="13.2" x14ac:dyDescent="0.25">
      <c r="A185" s="1" t="s">
        <v>36</v>
      </c>
      <c r="B185" s="1">
        <v>2018</v>
      </c>
      <c r="C185" s="1" t="s">
        <v>41</v>
      </c>
      <c r="D185" s="8">
        <f>DATEVALUE(Main[[#This Row],[Month]]&amp;Main[[#This Row],[Year]])</f>
        <v>43132</v>
      </c>
      <c r="E185" s="1">
        <v>136.4</v>
      </c>
      <c r="F185" s="1">
        <v>143.69999999999999</v>
      </c>
      <c r="G185" s="1">
        <v>140.6</v>
      </c>
      <c r="H185" s="1">
        <v>141.5</v>
      </c>
      <c r="I185" s="1">
        <v>122.9</v>
      </c>
      <c r="J185" s="1">
        <v>149.4</v>
      </c>
      <c r="K185" s="1">
        <v>142.4</v>
      </c>
      <c r="L185" s="1">
        <v>130.19999999999999</v>
      </c>
      <c r="M185" s="1">
        <v>117.9</v>
      </c>
      <c r="N185" s="1">
        <v>135.6</v>
      </c>
      <c r="O185" s="1">
        <v>130.5</v>
      </c>
      <c r="P185" s="1">
        <v>151.69999999999999</v>
      </c>
      <c r="Q185" s="1">
        <v>138.69999999999999</v>
      </c>
      <c r="R185" s="1">
        <v>153.30000000000001</v>
      </c>
      <c r="S185" s="1">
        <v>148.69999999999999</v>
      </c>
      <c r="T185" s="1">
        <v>142.4</v>
      </c>
      <c r="U185" s="1">
        <v>147.80000000000001</v>
      </c>
      <c r="V185" s="1" t="s">
        <v>38</v>
      </c>
      <c r="W185" s="1">
        <v>142.4</v>
      </c>
      <c r="X185" s="1">
        <v>139.9</v>
      </c>
      <c r="Y185" s="1">
        <v>136.19999999999999</v>
      </c>
      <c r="Z185" s="1">
        <v>123.3</v>
      </c>
      <c r="AA185" s="1">
        <v>134.30000000000001</v>
      </c>
      <c r="AB185" s="1">
        <v>141.5</v>
      </c>
      <c r="AC185" s="1">
        <v>128.80000000000001</v>
      </c>
      <c r="AD185" s="1">
        <v>132.5</v>
      </c>
      <c r="AE185" s="1">
        <v>138.5</v>
      </c>
      <c r="AF185" s="6">
        <f t="shared" si="8"/>
        <v>137.03846153846155</v>
      </c>
      <c r="AG185" s="6">
        <f t="shared" si="9"/>
        <v>140.03333333333333</v>
      </c>
      <c r="AH185" s="6">
        <f t="shared" si="10"/>
        <v>146.30000000000001</v>
      </c>
      <c r="AI185" s="6">
        <f t="shared" si="11"/>
        <v>136.77500000000001</v>
      </c>
      <c r="AJ185" s="6">
        <f>IFERROR(AVERAGE(Main[[#This Row],[Health]],Main[[#This Row],[Personal care and effects]]),"NA")</f>
        <v>132.5</v>
      </c>
    </row>
    <row r="186" spans="1:36" ht="13.2" x14ac:dyDescent="0.25">
      <c r="A186" s="1" t="s">
        <v>39</v>
      </c>
      <c r="B186" s="1">
        <v>2018</v>
      </c>
      <c r="C186" s="1" t="s">
        <v>41</v>
      </c>
      <c r="D186" s="8">
        <f>DATEVALUE(Main[[#This Row],[Month]]&amp;Main[[#This Row],[Year]])</f>
        <v>43132</v>
      </c>
      <c r="E186" s="1">
        <v>134.80000000000001</v>
      </c>
      <c r="F186" s="1">
        <v>143</v>
      </c>
      <c r="G186" s="1">
        <v>139.9</v>
      </c>
      <c r="H186" s="1">
        <v>139.9</v>
      </c>
      <c r="I186" s="1">
        <v>116.2</v>
      </c>
      <c r="J186" s="1">
        <v>135.5</v>
      </c>
      <c r="K186" s="1">
        <v>136.9</v>
      </c>
      <c r="L186" s="1">
        <v>117</v>
      </c>
      <c r="M186" s="1">
        <v>115.4</v>
      </c>
      <c r="N186" s="1">
        <v>140.69999999999999</v>
      </c>
      <c r="O186" s="1">
        <v>125.9</v>
      </c>
      <c r="P186" s="1">
        <v>147.1</v>
      </c>
      <c r="Q186" s="1">
        <v>135.6</v>
      </c>
      <c r="R186" s="1">
        <v>159.30000000000001</v>
      </c>
      <c r="S186" s="1">
        <v>136.30000000000001</v>
      </c>
      <c r="T186" s="1">
        <v>126.1</v>
      </c>
      <c r="U186" s="1">
        <v>134.69999999999999</v>
      </c>
      <c r="V186" s="1">
        <v>141.30000000000001</v>
      </c>
      <c r="W186" s="1">
        <v>127.3</v>
      </c>
      <c r="X186" s="1">
        <v>129.9</v>
      </c>
      <c r="Y186" s="1">
        <v>129.80000000000001</v>
      </c>
      <c r="Z186" s="1">
        <v>117.4</v>
      </c>
      <c r="AA186" s="1">
        <v>126.5</v>
      </c>
      <c r="AB186" s="1">
        <v>137.19999999999999</v>
      </c>
      <c r="AC186" s="1">
        <v>126.2</v>
      </c>
      <c r="AD186" s="1">
        <v>126.5</v>
      </c>
      <c r="AE186" s="1">
        <v>134</v>
      </c>
      <c r="AF186" s="6">
        <f t="shared" si="8"/>
        <v>132.91538461538462</v>
      </c>
      <c r="AG186" s="6">
        <f t="shared" si="9"/>
        <v>137.43333333333334</v>
      </c>
      <c r="AH186" s="6">
        <f t="shared" si="10"/>
        <v>132.36666666666665</v>
      </c>
      <c r="AI186" s="6">
        <f t="shared" si="11"/>
        <v>130.61999999999998</v>
      </c>
      <c r="AJ186" s="6">
        <f>IFERROR(AVERAGE(Main[[#This Row],[Health]],Main[[#This Row],[Personal care and effects]]),"NA")</f>
        <v>128</v>
      </c>
    </row>
    <row r="187" spans="1:36" ht="13.2" x14ac:dyDescent="0.25">
      <c r="A187" s="1" t="s">
        <v>40</v>
      </c>
      <c r="B187" s="1">
        <v>2018</v>
      </c>
      <c r="C187" s="1" t="s">
        <v>41</v>
      </c>
      <c r="D187" s="8">
        <f>DATEVALUE(Main[[#This Row],[Month]]&amp;Main[[#This Row],[Year]])</f>
        <v>43132</v>
      </c>
      <c r="E187" s="1">
        <v>135.9</v>
      </c>
      <c r="F187" s="1">
        <v>143.5</v>
      </c>
      <c r="G187" s="1">
        <v>140.30000000000001</v>
      </c>
      <c r="H187" s="1">
        <v>140.9</v>
      </c>
      <c r="I187" s="1">
        <v>120.4</v>
      </c>
      <c r="J187" s="1">
        <v>142.9</v>
      </c>
      <c r="K187" s="1">
        <v>140.5</v>
      </c>
      <c r="L187" s="1">
        <v>125.8</v>
      </c>
      <c r="M187" s="1">
        <v>117.1</v>
      </c>
      <c r="N187" s="1">
        <v>137.30000000000001</v>
      </c>
      <c r="O187" s="1">
        <v>128.6</v>
      </c>
      <c r="P187" s="1">
        <v>149.6</v>
      </c>
      <c r="Q187" s="1">
        <v>137.6</v>
      </c>
      <c r="R187" s="1">
        <v>154.9</v>
      </c>
      <c r="S187" s="1">
        <v>143.80000000000001</v>
      </c>
      <c r="T187" s="1">
        <v>135.6</v>
      </c>
      <c r="U187" s="1">
        <v>142.6</v>
      </c>
      <c r="V187" s="1">
        <v>141.30000000000001</v>
      </c>
      <c r="W187" s="1">
        <v>136.69999999999999</v>
      </c>
      <c r="X187" s="1">
        <v>135.19999999999999</v>
      </c>
      <c r="Y187" s="1">
        <v>133.80000000000001</v>
      </c>
      <c r="Z187" s="1">
        <v>120.2</v>
      </c>
      <c r="AA187" s="1">
        <v>129.9</v>
      </c>
      <c r="AB187" s="1">
        <v>139</v>
      </c>
      <c r="AC187" s="1">
        <v>127.7</v>
      </c>
      <c r="AD187" s="1">
        <v>129.6</v>
      </c>
      <c r="AE187" s="1">
        <v>136.4</v>
      </c>
      <c r="AF187" s="6">
        <f t="shared" si="8"/>
        <v>135.4153846153846</v>
      </c>
      <c r="AG187" s="6">
        <f t="shared" si="9"/>
        <v>138.13333333333333</v>
      </c>
      <c r="AH187" s="6">
        <f t="shared" si="10"/>
        <v>140.66666666666666</v>
      </c>
      <c r="AI187" s="6">
        <f t="shared" si="11"/>
        <v>134.47999999999999</v>
      </c>
      <c r="AJ187" s="6">
        <f>IFERROR(AVERAGE(Main[[#This Row],[Health]],Main[[#This Row],[Personal care and effects]]),"NA")</f>
        <v>130.75</v>
      </c>
    </row>
    <row r="188" spans="1:36" ht="13.2" x14ac:dyDescent="0.25">
      <c r="A188" s="1" t="s">
        <v>36</v>
      </c>
      <c r="B188" s="1">
        <v>2018</v>
      </c>
      <c r="C188" s="1" t="s">
        <v>42</v>
      </c>
      <c r="D188" s="8">
        <f>DATEVALUE(Main[[#This Row],[Month]]&amp;Main[[#This Row],[Year]])</f>
        <v>43160</v>
      </c>
      <c r="E188" s="1">
        <v>136.80000000000001</v>
      </c>
      <c r="F188" s="1">
        <v>143.80000000000001</v>
      </c>
      <c r="G188" s="1">
        <v>140</v>
      </c>
      <c r="H188" s="1">
        <v>142</v>
      </c>
      <c r="I188" s="1">
        <v>123.2</v>
      </c>
      <c r="J188" s="1">
        <v>152.9</v>
      </c>
      <c r="K188" s="1">
        <v>138</v>
      </c>
      <c r="L188" s="1">
        <v>129.30000000000001</v>
      </c>
      <c r="M188" s="1">
        <v>117.1</v>
      </c>
      <c r="N188" s="1">
        <v>136.30000000000001</v>
      </c>
      <c r="O188" s="1">
        <v>131.19999999999999</v>
      </c>
      <c r="P188" s="1">
        <v>152.80000000000001</v>
      </c>
      <c r="Q188" s="1">
        <v>138.6</v>
      </c>
      <c r="R188" s="1">
        <v>155.1</v>
      </c>
      <c r="S188" s="1">
        <v>149.19999999999999</v>
      </c>
      <c r="T188" s="1">
        <v>143</v>
      </c>
      <c r="U188" s="1">
        <v>148.30000000000001</v>
      </c>
      <c r="V188" s="1" t="s">
        <v>38</v>
      </c>
      <c r="W188" s="1">
        <v>142.6</v>
      </c>
      <c r="X188" s="1">
        <v>139.9</v>
      </c>
      <c r="Y188" s="1">
        <v>136.69999999999999</v>
      </c>
      <c r="Z188" s="1">
        <v>124.6</v>
      </c>
      <c r="AA188" s="1">
        <v>135.1</v>
      </c>
      <c r="AB188" s="1">
        <v>142.69999999999999</v>
      </c>
      <c r="AC188" s="1">
        <v>129.30000000000001</v>
      </c>
      <c r="AD188" s="1">
        <v>133.30000000000001</v>
      </c>
      <c r="AE188" s="1">
        <v>138.69999999999999</v>
      </c>
      <c r="AF188" s="6">
        <f t="shared" si="8"/>
        <v>137.07692307692307</v>
      </c>
      <c r="AG188" s="6">
        <f t="shared" si="9"/>
        <v>141.16666666666666</v>
      </c>
      <c r="AH188" s="6">
        <f t="shared" si="10"/>
        <v>146.83333333333334</v>
      </c>
      <c r="AI188" s="6">
        <f t="shared" si="11"/>
        <v>137.44999999999999</v>
      </c>
      <c r="AJ188" s="6">
        <f>IFERROR(AVERAGE(Main[[#This Row],[Health]],Main[[#This Row],[Personal care and effects]]),"NA")</f>
        <v>133</v>
      </c>
    </row>
    <row r="189" spans="1:36" ht="13.2" x14ac:dyDescent="0.25">
      <c r="A189" s="1" t="s">
        <v>39</v>
      </c>
      <c r="B189" s="1">
        <v>2018</v>
      </c>
      <c r="C189" s="1" t="s">
        <v>42</v>
      </c>
      <c r="D189" s="8">
        <f>DATEVALUE(Main[[#This Row],[Month]]&amp;Main[[#This Row],[Year]])</f>
        <v>43160</v>
      </c>
      <c r="E189" s="1">
        <v>135</v>
      </c>
      <c r="F189" s="1">
        <v>143.1</v>
      </c>
      <c r="G189" s="1">
        <v>135.5</v>
      </c>
      <c r="H189" s="1">
        <v>139.9</v>
      </c>
      <c r="I189" s="1">
        <v>116.5</v>
      </c>
      <c r="J189" s="1">
        <v>138.5</v>
      </c>
      <c r="K189" s="1">
        <v>128</v>
      </c>
      <c r="L189" s="1">
        <v>115.5</v>
      </c>
      <c r="M189" s="1">
        <v>114.2</v>
      </c>
      <c r="N189" s="1">
        <v>140.69999999999999</v>
      </c>
      <c r="O189" s="1">
        <v>126.2</v>
      </c>
      <c r="P189" s="1">
        <v>147.6</v>
      </c>
      <c r="Q189" s="1">
        <v>134.80000000000001</v>
      </c>
      <c r="R189" s="1">
        <v>159.69999999999999</v>
      </c>
      <c r="S189" s="1">
        <v>136.69999999999999</v>
      </c>
      <c r="T189" s="1">
        <v>126.7</v>
      </c>
      <c r="U189" s="1">
        <v>135.19999999999999</v>
      </c>
      <c r="V189" s="1">
        <v>142</v>
      </c>
      <c r="W189" s="1">
        <v>126.4</v>
      </c>
      <c r="X189" s="1">
        <v>130.80000000000001</v>
      </c>
      <c r="Y189" s="1">
        <v>130.5</v>
      </c>
      <c r="Z189" s="1">
        <v>117.8</v>
      </c>
      <c r="AA189" s="1">
        <v>126.8</v>
      </c>
      <c r="AB189" s="1">
        <v>137.80000000000001</v>
      </c>
      <c r="AC189" s="1">
        <v>126.7</v>
      </c>
      <c r="AD189" s="1">
        <v>127.1</v>
      </c>
      <c r="AE189" s="1">
        <v>134</v>
      </c>
      <c r="AF189" s="6">
        <f t="shared" si="8"/>
        <v>131.96153846153845</v>
      </c>
      <c r="AG189" s="6">
        <f t="shared" si="9"/>
        <v>137.86666666666667</v>
      </c>
      <c r="AH189" s="6">
        <f t="shared" si="10"/>
        <v>132.86666666666665</v>
      </c>
      <c r="AI189" s="6">
        <f t="shared" si="11"/>
        <v>130.95999999999998</v>
      </c>
      <c r="AJ189" s="6">
        <f>IFERROR(AVERAGE(Main[[#This Row],[Health]],Main[[#This Row],[Personal care and effects]]),"NA")</f>
        <v>128.6</v>
      </c>
    </row>
    <row r="190" spans="1:36" ht="13.2" x14ac:dyDescent="0.25">
      <c r="A190" s="1" t="s">
        <v>40</v>
      </c>
      <c r="B190" s="1">
        <v>2018</v>
      </c>
      <c r="C190" s="1" t="s">
        <v>42</v>
      </c>
      <c r="D190" s="8">
        <f>DATEVALUE(Main[[#This Row],[Month]]&amp;Main[[#This Row],[Year]])</f>
        <v>43160</v>
      </c>
      <c r="E190" s="1">
        <v>136.19999999999999</v>
      </c>
      <c r="F190" s="1">
        <v>143.6</v>
      </c>
      <c r="G190" s="1">
        <v>138.30000000000001</v>
      </c>
      <c r="H190" s="1">
        <v>141.19999999999999</v>
      </c>
      <c r="I190" s="1">
        <v>120.7</v>
      </c>
      <c r="J190" s="1">
        <v>146.19999999999999</v>
      </c>
      <c r="K190" s="1">
        <v>134.6</v>
      </c>
      <c r="L190" s="1">
        <v>124.6</v>
      </c>
      <c r="M190" s="1">
        <v>116.1</v>
      </c>
      <c r="N190" s="1">
        <v>137.80000000000001</v>
      </c>
      <c r="O190" s="1">
        <v>129.1</v>
      </c>
      <c r="P190" s="1">
        <v>150.4</v>
      </c>
      <c r="Q190" s="1">
        <v>137.19999999999999</v>
      </c>
      <c r="R190" s="1">
        <v>156.30000000000001</v>
      </c>
      <c r="S190" s="1">
        <v>144.30000000000001</v>
      </c>
      <c r="T190" s="1">
        <v>136.19999999999999</v>
      </c>
      <c r="U190" s="1">
        <v>143.1</v>
      </c>
      <c r="V190" s="1">
        <v>142</v>
      </c>
      <c r="W190" s="1">
        <v>136.5</v>
      </c>
      <c r="X190" s="1">
        <v>135.6</v>
      </c>
      <c r="Y190" s="1">
        <v>134.30000000000001</v>
      </c>
      <c r="Z190" s="1">
        <v>121</v>
      </c>
      <c r="AA190" s="1">
        <v>130.4</v>
      </c>
      <c r="AB190" s="1">
        <v>139.80000000000001</v>
      </c>
      <c r="AC190" s="1">
        <v>128.19999999999999</v>
      </c>
      <c r="AD190" s="1">
        <v>130.30000000000001</v>
      </c>
      <c r="AE190" s="1">
        <v>136.5</v>
      </c>
      <c r="AF190" s="6">
        <f t="shared" si="8"/>
        <v>135.07692307692307</v>
      </c>
      <c r="AG190" s="6">
        <f t="shared" si="9"/>
        <v>139.00000000000003</v>
      </c>
      <c r="AH190" s="6">
        <f t="shared" si="10"/>
        <v>141.20000000000002</v>
      </c>
      <c r="AI190" s="6">
        <f t="shared" si="11"/>
        <v>134.98000000000002</v>
      </c>
      <c r="AJ190" s="6">
        <f>IFERROR(AVERAGE(Main[[#This Row],[Health]],Main[[#This Row],[Personal care and effects]]),"NA")</f>
        <v>131.25</v>
      </c>
    </row>
    <row r="191" spans="1:36" ht="13.2" x14ac:dyDescent="0.25">
      <c r="A191" s="1" t="s">
        <v>36</v>
      </c>
      <c r="B191" s="1">
        <v>2018</v>
      </c>
      <c r="C191" s="1" t="s">
        <v>43</v>
      </c>
      <c r="D191" s="8">
        <f>DATEVALUE(Main[[#This Row],[Month]]&amp;Main[[#This Row],[Year]])</f>
        <v>43191</v>
      </c>
      <c r="E191" s="1">
        <v>137.1</v>
      </c>
      <c r="F191" s="1">
        <v>144.5</v>
      </c>
      <c r="G191" s="1">
        <v>135.9</v>
      </c>
      <c r="H191" s="1">
        <v>142.4</v>
      </c>
      <c r="I191" s="1">
        <v>123.5</v>
      </c>
      <c r="J191" s="1">
        <v>156.4</v>
      </c>
      <c r="K191" s="1">
        <v>135.1</v>
      </c>
      <c r="L191" s="1">
        <v>128.4</v>
      </c>
      <c r="M191" s="1">
        <v>115.2</v>
      </c>
      <c r="N191" s="1">
        <v>137.19999999999999</v>
      </c>
      <c r="O191" s="1">
        <v>131.9</v>
      </c>
      <c r="P191" s="1">
        <v>153.80000000000001</v>
      </c>
      <c r="Q191" s="1">
        <v>138.6</v>
      </c>
      <c r="R191" s="1">
        <v>156.1</v>
      </c>
      <c r="S191" s="1">
        <v>150.1</v>
      </c>
      <c r="T191" s="1">
        <v>143.30000000000001</v>
      </c>
      <c r="U191" s="1">
        <v>149.1</v>
      </c>
      <c r="V191" s="1" t="s">
        <v>38</v>
      </c>
      <c r="W191" s="1">
        <v>143.80000000000001</v>
      </c>
      <c r="X191" s="1">
        <v>140.9</v>
      </c>
      <c r="Y191" s="1">
        <v>137.6</v>
      </c>
      <c r="Z191" s="1">
        <v>125.3</v>
      </c>
      <c r="AA191" s="1">
        <v>136</v>
      </c>
      <c r="AB191" s="1">
        <v>143.69999999999999</v>
      </c>
      <c r="AC191" s="1">
        <v>130.4</v>
      </c>
      <c r="AD191" s="1">
        <v>134.19999999999999</v>
      </c>
      <c r="AE191" s="1">
        <v>139.1</v>
      </c>
      <c r="AF191" s="6">
        <f t="shared" si="8"/>
        <v>136.92307692307693</v>
      </c>
      <c r="AG191" s="6">
        <f t="shared" si="9"/>
        <v>142.1</v>
      </c>
      <c r="AH191" s="6">
        <f t="shared" si="10"/>
        <v>147.5</v>
      </c>
      <c r="AI191" s="6">
        <f t="shared" si="11"/>
        <v>138.42500000000001</v>
      </c>
      <c r="AJ191" s="6">
        <f>IFERROR(AVERAGE(Main[[#This Row],[Health]],Main[[#This Row],[Personal care and effects]]),"NA")</f>
        <v>134</v>
      </c>
    </row>
    <row r="192" spans="1:36" ht="13.2" x14ac:dyDescent="0.25">
      <c r="A192" s="1" t="s">
        <v>39</v>
      </c>
      <c r="B192" s="1">
        <v>2018</v>
      </c>
      <c r="C192" s="1" t="s">
        <v>43</v>
      </c>
      <c r="D192" s="8">
        <f>DATEVALUE(Main[[#This Row],[Month]]&amp;Main[[#This Row],[Year]])</f>
        <v>43191</v>
      </c>
      <c r="E192" s="1">
        <v>135</v>
      </c>
      <c r="F192" s="1">
        <v>144.30000000000001</v>
      </c>
      <c r="G192" s="1">
        <v>130.80000000000001</v>
      </c>
      <c r="H192" s="1">
        <v>140.30000000000001</v>
      </c>
      <c r="I192" s="1">
        <v>116.6</v>
      </c>
      <c r="J192" s="1">
        <v>150.1</v>
      </c>
      <c r="K192" s="1">
        <v>127.6</v>
      </c>
      <c r="L192" s="1">
        <v>114</v>
      </c>
      <c r="M192" s="1">
        <v>110.6</v>
      </c>
      <c r="N192" s="1">
        <v>140.19999999999999</v>
      </c>
      <c r="O192" s="1">
        <v>126.5</v>
      </c>
      <c r="P192" s="1">
        <v>148.30000000000001</v>
      </c>
      <c r="Q192" s="1">
        <v>135.69999999999999</v>
      </c>
      <c r="R192" s="1">
        <v>159.19999999999999</v>
      </c>
      <c r="S192" s="1">
        <v>137.80000000000001</v>
      </c>
      <c r="T192" s="1">
        <v>127.4</v>
      </c>
      <c r="U192" s="1">
        <v>136.19999999999999</v>
      </c>
      <c r="V192" s="1">
        <v>142.9</v>
      </c>
      <c r="W192" s="1">
        <v>124.6</v>
      </c>
      <c r="X192" s="1">
        <v>131.80000000000001</v>
      </c>
      <c r="Y192" s="1">
        <v>131.30000000000001</v>
      </c>
      <c r="Z192" s="1">
        <v>118.9</v>
      </c>
      <c r="AA192" s="1">
        <v>127.6</v>
      </c>
      <c r="AB192" s="1">
        <v>139.69999999999999</v>
      </c>
      <c r="AC192" s="1">
        <v>127.6</v>
      </c>
      <c r="AD192" s="1">
        <v>128.19999999999999</v>
      </c>
      <c r="AE192" s="1">
        <v>134.80000000000001</v>
      </c>
      <c r="AF192" s="6">
        <f t="shared" si="8"/>
        <v>132.30769230769232</v>
      </c>
      <c r="AG192" s="6">
        <f t="shared" si="9"/>
        <v>138.33333333333331</v>
      </c>
      <c r="AH192" s="6">
        <f t="shared" si="10"/>
        <v>133.80000000000001</v>
      </c>
      <c r="AI192" s="6">
        <f t="shared" si="11"/>
        <v>131.58000000000001</v>
      </c>
      <c r="AJ192" s="6">
        <f>IFERROR(AVERAGE(Main[[#This Row],[Health]],Main[[#This Row],[Personal care and effects]]),"NA")</f>
        <v>129.44999999999999</v>
      </c>
    </row>
    <row r="193" spans="1:36" ht="13.2" x14ac:dyDescent="0.25">
      <c r="A193" s="1" t="s">
        <v>40</v>
      </c>
      <c r="B193" s="1">
        <v>2018</v>
      </c>
      <c r="C193" s="1" t="s">
        <v>43</v>
      </c>
      <c r="D193" s="8">
        <f>DATEVALUE(Main[[#This Row],[Month]]&amp;Main[[#This Row],[Year]])</f>
        <v>43191</v>
      </c>
      <c r="E193" s="1">
        <v>136.4</v>
      </c>
      <c r="F193" s="1">
        <v>144.4</v>
      </c>
      <c r="G193" s="1">
        <v>133.9</v>
      </c>
      <c r="H193" s="1">
        <v>141.6</v>
      </c>
      <c r="I193" s="1">
        <v>121</v>
      </c>
      <c r="J193" s="1">
        <v>153.5</v>
      </c>
      <c r="K193" s="1">
        <v>132.6</v>
      </c>
      <c r="L193" s="1">
        <v>123.5</v>
      </c>
      <c r="M193" s="1">
        <v>113.7</v>
      </c>
      <c r="N193" s="1">
        <v>138.19999999999999</v>
      </c>
      <c r="O193" s="1">
        <v>129.6</v>
      </c>
      <c r="P193" s="1">
        <v>151.19999999999999</v>
      </c>
      <c r="Q193" s="1">
        <v>137.5</v>
      </c>
      <c r="R193" s="1">
        <v>156.9</v>
      </c>
      <c r="S193" s="1">
        <v>145.30000000000001</v>
      </c>
      <c r="T193" s="1">
        <v>136.69999999999999</v>
      </c>
      <c r="U193" s="1">
        <v>144</v>
      </c>
      <c r="V193" s="1">
        <v>142.9</v>
      </c>
      <c r="W193" s="1">
        <v>136.5</v>
      </c>
      <c r="X193" s="1">
        <v>136.6</v>
      </c>
      <c r="Y193" s="1">
        <v>135.19999999999999</v>
      </c>
      <c r="Z193" s="1">
        <v>121.9</v>
      </c>
      <c r="AA193" s="1">
        <v>131.30000000000001</v>
      </c>
      <c r="AB193" s="1">
        <v>141.4</v>
      </c>
      <c r="AC193" s="1">
        <v>129.19999999999999</v>
      </c>
      <c r="AD193" s="1">
        <v>131.30000000000001</v>
      </c>
      <c r="AE193" s="1">
        <v>137.1</v>
      </c>
      <c r="AF193" s="6">
        <f t="shared" si="8"/>
        <v>135.16153846153847</v>
      </c>
      <c r="AG193" s="6">
        <f t="shared" si="9"/>
        <v>139.83333333333334</v>
      </c>
      <c r="AH193" s="6">
        <f t="shared" si="10"/>
        <v>142</v>
      </c>
      <c r="AI193" s="6">
        <f t="shared" si="11"/>
        <v>135.85999999999999</v>
      </c>
      <c r="AJ193" s="6">
        <f>IFERROR(AVERAGE(Main[[#This Row],[Health]],Main[[#This Row],[Personal care and effects]]),"NA")</f>
        <v>132.19999999999999</v>
      </c>
    </row>
    <row r="194" spans="1:36" ht="13.2" x14ac:dyDescent="0.25">
      <c r="A194" s="1" t="s">
        <v>36</v>
      </c>
      <c r="B194" s="1">
        <v>2018</v>
      </c>
      <c r="C194" s="1" t="s">
        <v>44</v>
      </c>
      <c r="D194" s="8">
        <f>DATEVALUE(Main[[#This Row],[Month]]&amp;Main[[#This Row],[Year]])</f>
        <v>43221</v>
      </c>
      <c r="E194" s="1">
        <v>137.4</v>
      </c>
      <c r="F194" s="1">
        <v>145.69999999999999</v>
      </c>
      <c r="G194" s="1">
        <v>135.5</v>
      </c>
      <c r="H194" s="1">
        <v>142.9</v>
      </c>
      <c r="I194" s="1">
        <v>123.6</v>
      </c>
      <c r="J194" s="1">
        <v>157.5</v>
      </c>
      <c r="K194" s="1">
        <v>137.80000000000001</v>
      </c>
      <c r="L194" s="1">
        <v>127.2</v>
      </c>
      <c r="M194" s="1">
        <v>111.8</v>
      </c>
      <c r="N194" s="1">
        <v>137.4</v>
      </c>
      <c r="O194" s="1">
        <v>132.19999999999999</v>
      </c>
      <c r="P194" s="1">
        <v>154.30000000000001</v>
      </c>
      <c r="Q194" s="1">
        <v>139.1</v>
      </c>
      <c r="R194" s="1">
        <v>157</v>
      </c>
      <c r="S194" s="1">
        <v>150.80000000000001</v>
      </c>
      <c r="T194" s="1">
        <v>144.1</v>
      </c>
      <c r="U194" s="1">
        <v>149.80000000000001</v>
      </c>
      <c r="V194" s="1" t="s">
        <v>38</v>
      </c>
      <c r="W194" s="1">
        <v>144.30000000000001</v>
      </c>
      <c r="X194" s="1">
        <v>141.80000000000001</v>
      </c>
      <c r="Y194" s="1">
        <v>138.4</v>
      </c>
      <c r="Z194" s="1">
        <v>126.4</v>
      </c>
      <c r="AA194" s="1">
        <v>136.80000000000001</v>
      </c>
      <c r="AB194" s="1">
        <v>144.4</v>
      </c>
      <c r="AC194" s="1">
        <v>131.19999999999999</v>
      </c>
      <c r="AD194" s="1">
        <v>135.1</v>
      </c>
      <c r="AE194" s="1">
        <v>139.80000000000001</v>
      </c>
      <c r="AF194" s="6">
        <f t="shared" ref="AF194:AF257" si="12">IFERROR(AVERAGE(E194:Q194),"NA")</f>
        <v>137.1076923076923</v>
      </c>
      <c r="AG194" s="6">
        <f t="shared" ref="AG194:AG257" si="13">IFERROR(AVERAGE(R194,AA194,AD194),"NA")</f>
        <v>142.96666666666667</v>
      </c>
      <c r="AH194" s="6">
        <f t="shared" ref="AH194:AH257" si="14">IFERROR(AVERAGE(S194:U194),"NA")</f>
        <v>148.23333333333332</v>
      </c>
      <c r="AI194" s="6">
        <f t="shared" ref="AI194:AI257" si="15">IFERROR(AVERAGE(V194,W194,X194,Z194,AB194),"NA")</f>
        <v>139.22499999999999</v>
      </c>
      <c r="AJ194" s="6">
        <f>IFERROR(AVERAGE(Main[[#This Row],[Health]],Main[[#This Row],[Personal care and effects]]),"NA")</f>
        <v>134.80000000000001</v>
      </c>
    </row>
    <row r="195" spans="1:36" ht="13.2" x14ac:dyDescent="0.25">
      <c r="A195" s="1" t="s">
        <v>39</v>
      </c>
      <c r="B195" s="1">
        <v>2018</v>
      </c>
      <c r="C195" s="1" t="s">
        <v>44</v>
      </c>
      <c r="D195" s="8">
        <f>DATEVALUE(Main[[#This Row],[Month]]&amp;Main[[#This Row],[Year]])</f>
        <v>43221</v>
      </c>
      <c r="E195" s="1">
        <v>135</v>
      </c>
      <c r="F195" s="1">
        <v>148.19999999999999</v>
      </c>
      <c r="G195" s="1">
        <v>130.5</v>
      </c>
      <c r="H195" s="1">
        <v>140.69999999999999</v>
      </c>
      <c r="I195" s="1">
        <v>116.4</v>
      </c>
      <c r="J195" s="1">
        <v>151.30000000000001</v>
      </c>
      <c r="K195" s="1">
        <v>131.4</v>
      </c>
      <c r="L195" s="1">
        <v>112.8</v>
      </c>
      <c r="M195" s="1">
        <v>105.3</v>
      </c>
      <c r="N195" s="1">
        <v>139.6</v>
      </c>
      <c r="O195" s="1">
        <v>126.6</v>
      </c>
      <c r="P195" s="1">
        <v>148.69999999999999</v>
      </c>
      <c r="Q195" s="1">
        <v>136.4</v>
      </c>
      <c r="R195" s="1">
        <v>160.30000000000001</v>
      </c>
      <c r="S195" s="1">
        <v>138.6</v>
      </c>
      <c r="T195" s="1">
        <v>127.9</v>
      </c>
      <c r="U195" s="1">
        <v>137</v>
      </c>
      <c r="V195" s="1">
        <v>143.19999999999999</v>
      </c>
      <c r="W195" s="1">
        <v>124.7</v>
      </c>
      <c r="X195" s="1">
        <v>132.5</v>
      </c>
      <c r="Y195" s="1">
        <v>132</v>
      </c>
      <c r="Z195" s="1">
        <v>119.8</v>
      </c>
      <c r="AA195" s="1">
        <v>128</v>
      </c>
      <c r="AB195" s="1">
        <v>140.4</v>
      </c>
      <c r="AC195" s="1">
        <v>128.1</v>
      </c>
      <c r="AD195" s="1">
        <v>128.9</v>
      </c>
      <c r="AE195" s="1">
        <v>135.4</v>
      </c>
      <c r="AF195" s="6">
        <f t="shared" si="12"/>
        <v>132.53076923076921</v>
      </c>
      <c r="AG195" s="6">
        <f t="shared" si="13"/>
        <v>139.06666666666669</v>
      </c>
      <c r="AH195" s="6">
        <f t="shared" si="14"/>
        <v>134.5</v>
      </c>
      <c r="AI195" s="6">
        <f t="shared" si="15"/>
        <v>132.11999999999998</v>
      </c>
      <c r="AJ195" s="6">
        <f>IFERROR(AVERAGE(Main[[#This Row],[Health]],Main[[#This Row],[Personal care and effects]]),"NA")</f>
        <v>130.05000000000001</v>
      </c>
    </row>
    <row r="196" spans="1:36" ht="13.2" x14ac:dyDescent="0.25">
      <c r="A196" s="1" t="s">
        <v>40</v>
      </c>
      <c r="B196" s="1">
        <v>2018</v>
      </c>
      <c r="C196" s="1" t="s">
        <v>44</v>
      </c>
      <c r="D196" s="8">
        <f>DATEVALUE(Main[[#This Row],[Month]]&amp;Main[[#This Row],[Year]])</f>
        <v>43221</v>
      </c>
      <c r="E196" s="1">
        <v>136.6</v>
      </c>
      <c r="F196" s="1">
        <v>146.6</v>
      </c>
      <c r="G196" s="1">
        <v>133.6</v>
      </c>
      <c r="H196" s="1">
        <v>142.1</v>
      </c>
      <c r="I196" s="1">
        <v>121</v>
      </c>
      <c r="J196" s="1">
        <v>154.6</v>
      </c>
      <c r="K196" s="1">
        <v>135.6</v>
      </c>
      <c r="L196" s="1">
        <v>122.3</v>
      </c>
      <c r="M196" s="1">
        <v>109.6</v>
      </c>
      <c r="N196" s="1">
        <v>138.1</v>
      </c>
      <c r="O196" s="1">
        <v>129.9</v>
      </c>
      <c r="P196" s="1">
        <v>151.69999999999999</v>
      </c>
      <c r="Q196" s="1">
        <v>138.1</v>
      </c>
      <c r="R196" s="1">
        <v>157.9</v>
      </c>
      <c r="S196" s="1">
        <v>146</v>
      </c>
      <c r="T196" s="1">
        <v>137.4</v>
      </c>
      <c r="U196" s="1">
        <v>144.69999999999999</v>
      </c>
      <c r="V196" s="1">
        <v>143.19999999999999</v>
      </c>
      <c r="W196" s="1">
        <v>136.9</v>
      </c>
      <c r="X196" s="1">
        <v>137.4</v>
      </c>
      <c r="Y196" s="1">
        <v>136</v>
      </c>
      <c r="Z196" s="1">
        <v>122.9</v>
      </c>
      <c r="AA196" s="1">
        <v>131.80000000000001</v>
      </c>
      <c r="AB196" s="1">
        <v>142.1</v>
      </c>
      <c r="AC196" s="1">
        <v>129.9</v>
      </c>
      <c r="AD196" s="1">
        <v>132.1</v>
      </c>
      <c r="AE196" s="1">
        <v>137.80000000000001</v>
      </c>
      <c r="AF196" s="6">
        <f t="shared" si="12"/>
        <v>135.36923076923077</v>
      </c>
      <c r="AG196" s="6">
        <f t="shared" si="13"/>
        <v>140.60000000000002</v>
      </c>
      <c r="AH196" s="6">
        <f t="shared" si="14"/>
        <v>142.69999999999999</v>
      </c>
      <c r="AI196" s="6">
        <f t="shared" si="15"/>
        <v>136.5</v>
      </c>
      <c r="AJ196" s="6">
        <f>IFERROR(AVERAGE(Main[[#This Row],[Health]],Main[[#This Row],[Personal care and effects]]),"NA")</f>
        <v>132.94999999999999</v>
      </c>
    </row>
    <row r="197" spans="1:36" ht="13.2" x14ac:dyDescent="0.25">
      <c r="A197" s="1" t="s">
        <v>36</v>
      </c>
      <c r="B197" s="1">
        <v>2018</v>
      </c>
      <c r="C197" s="1" t="s">
        <v>45</v>
      </c>
      <c r="D197" s="8">
        <f>DATEVALUE(Main[[#This Row],[Month]]&amp;Main[[#This Row],[Year]])</f>
        <v>43252</v>
      </c>
      <c r="E197" s="1">
        <v>137.6</v>
      </c>
      <c r="F197" s="1">
        <v>148.1</v>
      </c>
      <c r="G197" s="1">
        <v>136.69999999999999</v>
      </c>
      <c r="H197" s="1">
        <v>143.19999999999999</v>
      </c>
      <c r="I197" s="1">
        <v>124</v>
      </c>
      <c r="J197" s="1">
        <v>154.1</v>
      </c>
      <c r="K197" s="1">
        <v>143.5</v>
      </c>
      <c r="L197" s="1">
        <v>126</v>
      </c>
      <c r="M197" s="1">
        <v>112.4</v>
      </c>
      <c r="N197" s="1">
        <v>137.6</v>
      </c>
      <c r="O197" s="1">
        <v>132.80000000000001</v>
      </c>
      <c r="P197" s="1">
        <v>154.30000000000001</v>
      </c>
      <c r="Q197" s="1">
        <v>140</v>
      </c>
      <c r="R197" s="1">
        <v>157.30000000000001</v>
      </c>
      <c r="S197" s="1">
        <v>151.30000000000001</v>
      </c>
      <c r="T197" s="1">
        <v>144.69999999999999</v>
      </c>
      <c r="U197" s="1">
        <v>150.30000000000001</v>
      </c>
      <c r="V197" s="1" t="s">
        <v>38</v>
      </c>
      <c r="W197" s="1">
        <v>145.1</v>
      </c>
      <c r="X197" s="1">
        <v>142.19999999999999</v>
      </c>
      <c r="Y197" s="1">
        <v>138.4</v>
      </c>
      <c r="Z197" s="1">
        <v>127.4</v>
      </c>
      <c r="AA197" s="1">
        <v>137.80000000000001</v>
      </c>
      <c r="AB197" s="1">
        <v>145.1</v>
      </c>
      <c r="AC197" s="1">
        <v>131.4</v>
      </c>
      <c r="AD197" s="1">
        <v>135.6</v>
      </c>
      <c r="AE197" s="1">
        <v>140.5</v>
      </c>
      <c r="AF197" s="6">
        <f t="shared" si="12"/>
        <v>137.71538461538461</v>
      </c>
      <c r="AG197" s="6">
        <f t="shared" si="13"/>
        <v>143.56666666666669</v>
      </c>
      <c r="AH197" s="6">
        <f t="shared" si="14"/>
        <v>148.76666666666668</v>
      </c>
      <c r="AI197" s="6">
        <f t="shared" si="15"/>
        <v>139.94999999999999</v>
      </c>
      <c r="AJ197" s="6">
        <f>IFERROR(AVERAGE(Main[[#This Row],[Health]],Main[[#This Row],[Personal care and effects]]),"NA")</f>
        <v>134.9</v>
      </c>
    </row>
    <row r="198" spans="1:36" ht="13.2" x14ac:dyDescent="0.25">
      <c r="A198" s="1" t="s">
        <v>39</v>
      </c>
      <c r="B198" s="1">
        <v>2018</v>
      </c>
      <c r="C198" s="1" t="s">
        <v>45</v>
      </c>
      <c r="D198" s="8">
        <f>DATEVALUE(Main[[#This Row],[Month]]&amp;Main[[#This Row],[Year]])</f>
        <v>43252</v>
      </c>
      <c r="E198" s="1">
        <v>135.30000000000001</v>
      </c>
      <c r="F198" s="1">
        <v>149.69999999999999</v>
      </c>
      <c r="G198" s="1">
        <v>133.9</v>
      </c>
      <c r="H198" s="1">
        <v>140.80000000000001</v>
      </c>
      <c r="I198" s="1">
        <v>116.6</v>
      </c>
      <c r="J198" s="1">
        <v>152.19999999999999</v>
      </c>
      <c r="K198" s="1">
        <v>144</v>
      </c>
      <c r="L198" s="1">
        <v>112.3</v>
      </c>
      <c r="M198" s="1">
        <v>108.4</v>
      </c>
      <c r="N198" s="1">
        <v>140</v>
      </c>
      <c r="O198" s="1">
        <v>126.7</v>
      </c>
      <c r="P198" s="1">
        <v>149</v>
      </c>
      <c r="Q198" s="1">
        <v>138.4</v>
      </c>
      <c r="R198" s="1">
        <v>161</v>
      </c>
      <c r="S198" s="1">
        <v>138.9</v>
      </c>
      <c r="T198" s="1">
        <v>128.69999999999999</v>
      </c>
      <c r="U198" s="1">
        <v>137.4</v>
      </c>
      <c r="V198" s="1">
        <v>142.5</v>
      </c>
      <c r="W198" s="1">
        <v>126.5</v>
      </c>
      <c r="X198" s="1">
        <v>133.1</v>
      </c>
      <c r="Y198" s="1">
        <v>132.6</v>
      </c>
      <c r="Z198" s="1">
        <v>120.4</v>
      </c>
      <c r="AA198" s="1">
        <v>128.5</v>
      </c>
      <c r="AB198" s="1">
        <v>141.19999999999999</v>
      </c>
      <c r="AC198" s="1">
        <v>128.19999999999999</v>
      </c>
      <c r="AD198" s="1">
        <v>129.5</v>
      </c>
      <c r="AE198" s="1">
        <v>136.19999999999999</v>
      </c>
      <c r="AF198" s="6">
        <f t="shared" si="12"/>
        <v>134.40769230769232</v>
      </c>
      <c r="AG198" s="6">
        <f t="shared" si="13"/>
        <v>139.66666666666666</v>
      </c>
      <c r="AH198" s="6">
        <f t="shared" si="14"/>
        <v>135</v>
      </c>
      <c r="AI198" s="6">
        <f t="shared" si="15"/>
        <v>132.74</v>
      </c>
      <c r="AJ198" s="6">
        <f>IFERROR(AVERAGE(Main[[#This Row],[Health]],Main[[#This Row],[Personal care and effects]]),"NA")</f>
        <v>130.39999999999998</v>
      </c>
    </row>
    <row r="199" spans="1:36" ht="13.2" x14ac:dyDescent="0.25">
      <c r="A199" s="1" t="s">
        <v>40</v>
      </c>
      <c r="B199" s="1">
        <v>2018</v>
      </c>
      <c r="C199" s="1" t="s">
        <v>45</v>
      </c>
      <c r="D199" s="8">
        <f>DATEVALUE(Main[[#This Row],[Month]]&amp;Main[[#This Row],[Year]])</f>
        <v>43252</v>
      </c>
      <c r="E199" s="1">
        <v>136.9</v>
      </c>
      <c r="F199" s="1">
        <v>148.69999999999999</v>
      </c>
      <c r="G199" s="1">
        <v>135.6</v>
      </c>
      <c r="H199" s="1">
        <v>142.30000000000001</v>
      </c>
      <c r="I199" s="1">
        <v>121.3</v>
      </c>
      <c r="J199" s="1">
        <v>153.19999999999999</v>
      </c>
      <c r="K199" s="1">
        <v>143.69999999999999</v>
      </c>
      <c r="L199" s="1">
        <v>121.4</v>
      </c>
      <c r="M199" s="1">
        <v>111.1</v>
      </c>
      <c r="N199" s="1">
        <v>138.4</v>
      </c>
      <c r="O199" s="1">
        <v>130.30000000000001</v>
      </c>
      <c r="P199" s="1">
        <v>151.80000000000001</v>
      </c>
      <c r="Q199" s="1">
        <v>139.4</v>
      </c>
      <c r="R199" s="1">
        <v>158.30000000000001</v>
      </c>
      <c r="S199" s="1">
        <v>146.4</v>
      </c>
      <c r="T199" s="1">
        <v>138.1</v>
      </c>
      <c r="U199" s="1">
        <v>145.19999999999999</v>
      </c>
      <c r="V199" s="1">
        <v>142.5</v>
      </c>
      <c r="W199" s="1">
        <v>138.1</v>
      </c>
      <c r="X199" s="1">
        <v>137.9</v>
      </c>
      <c r="Y199" s="1">
        <v>136.19999999999999</v>
      </c>
      <c r="Z199" s="1">
        <v>123.7</v>
      </c>
      <c r="AA199" s="1">
        <v>132.6</v>
      </c>
      <c r="AB199" s="1">
        <v>142.80000000000001</v>
      </c>
      <c r="AC199" s="1">
        <v>130.1</v>
      </c>
      <c r="AD199" s="1">
        <v>132.6</v>
      </c>
      <c r="AE199" s="1">
        <v>138.5</v>
      </c>
      <c r="AF199" s="6">
        <f t="shared" si="12"/>
        <v>136.46923076923079</v>
      </c>
      <c r="AG199" s="6">
        <f t="shared" si="13"/>
        <v>141.16666666666666</v>
      </c>
      <c r="AH199" s="6">
        <f t="shared" si="14"/>
        <v>143.23333333333332</v>
      </c>
      <c r="AI199" s="6">
        <f t="shared" si="15"/>
        <v>137</v>
      </c>
      <c r="AJ199" s="6">
        <f>IFERROR(AVERAGE(Main[[#This Row],[Health]],Main[[#This Row],[Personal care and effects]]),"NA")</f>
        <v>133.14999999999998</v>
      </c>
    </row>
    <row r="200" spans="1:36" ht="13.2" x14ac:dyDescent="0.25">
      <c r="A200" s="1" t="s">
        <v>36</v>
      </c>
      <c r="B200" s="1">
        <v>2018</v>
      </c>
      <c r="C200" s="1" t="s">
        <v>46</v>
      </c>
      <c r="D200" s="8">
        <f>DATEVALUE(Main[[#This Row],[Month]]&amp;Main[[#This Row],[Year]])</f>
        <v>43282</v>
      </c>
      <c r="E200" s="1">
        <v>138.4</v>
      </c>
      <c r="F200" s="1">
        <v>149.30000000000001</v>
      </c>
      <c r="G200" s="1">
        <v>139.30000000000001</v>
      </c>
      <c r="H200" s="1">
        <v>143.4</v>
      </c>
      <c r="I200" s="1">
        <v>124.1</v>
      </c>
      <c r="J200" s="1">
        <v>153.30000000000001</v>
      </c>
      <c r="K200" s="1">
        <v>154.19999999999999</v>
      </c>
      <c r="L200" s="1">
        <v>126.4</v>
      </c>
      <c r="M200" s="1">
        <v>114.3</v>
      </c>
      <c r="N200" s="1">
        <v>138.19999999999999</v>
      </c>
      <c r="O200" s="1">
        <v>132.80000000000001</v>
      </c>
      <c r="P200" s="1">
        <v>154.80000000000001</v>
      </c>
      <c r="Q200" s="1">
        <v>142</v>
      </c>
      <c r="R200" s="1">
        <v>156.1</v>
      </c>
      <c r="S200" s="1">
        <v>151.5</v>
      </c>
      <c r="T200" s="1">
        <v>145.1</v>
      </c>
      <c r="U200" s="1">
        <v>150.6</v>
      </c>
      <c r="V200" s="1" t="s">
        <v>38</v>
      </c>
      <c r="W200" s="1">
        <v>146.80000000000001</v>
      </c>
      <c r="X200" s="1">
        <v>143.1</v>
      </c>
      <c r="Y200" s="1">
        <v>139</v>
      </c>
      <c r="Z200" s="1">
        <v>127.5</v>
      </c>
      <c r="AA200" s="1">
        <v>138.4</v>
      </c>
      <c r="AB200" s="1">
        <v>145.80000000000001</v>
      </c>
      <c r="AC200" s="1">
        <v>131.4</v>
      </c>
      <c r="AD200" s="1">
        <v>136</v>
      </c>
      <c r="AE200" s="1">
        <v>141.80000000000001</v>
      </c>
      <c r="AF200" s="6">
        <f t="shared" si="12"/>
        <v>139.26923076923077</v>
      </c>
      <c r="AG200" s="6">
        <f t="shared" si="13"/>
        <v>143.5</v>
      </c>
      <c r="AH200" s="6">
        <f t="shared" si="14"/>
        <v>149.06666666666669</v>
      </c>
      <c r="AI200" s="6">
        <f t="shared" si="15"/>
        <v>140.80000000000001</v>
      </c>
      <c r="AJ200" s="6">
        <f>IFERROR(AVERAGE(Main[[#This Row],[Health]],Main[[#This Row],[Personal care and effects]]),"NA")</f>
        <v>135.19999999999999</v>
      </c>
    </row>
    <row r="201" spans="1:36" ht="13.2" x14ac:dyDescent="0.25">
      <c r="A201" s="1" t="s">
        <v>39</v>
      </c>
      <c r="B201" s="1">
        <v>2018</v>
      </c>
      <c r="C201" s="1" t="s">
        <v>46</v>
      </c>
      <c r="D201" s="8">
        <f>DATEVALUE(Main[[#This Row],[Month]]&amp;Main[[#This Row],[Year]])</f>
        <v>43282</v>
      </c>
      <c r="E201" s="1">
        <v>135.6</v>
      </c>
      <c r="F201" s="1">
        <v>148.6</v>
      </c>
      <c r="G201" s="1">
        <v>139.1</v>
      </c>
      <c r="H201" s="1">
        <v>141</v>
      </c>
      <c r="I201" s="1">
        <v>116.7</v>
      </c>
      <c r="J201" s="1">
        <v>149.69999999999999</v>
      </c>
      <c r="K201" s="1">
        <v>159.19999999999999</v>
      </c>
      <c r="L201" s="1">
        <v>112.6</v>
      </c>
      <c r="M201" s="1">
        <v>111.8</v>
      </c>
      <c r="N201" s="1">
        <v>140.30000000000001</v>
      </c>
      <c r="O201" s="1">
        <v>126.8</v>
      </c>
      <c r="P201" s="1">
        <v>149.4</v>
      </c>
      <c r="Q201" s="1">
        <v>140.30000000000001</v>
      </c>
      <c r="R201" s="1">
        <v>161.4</v>
      </c>
      <c r="S201" s="1">
        <v>139.6</v>
      </c>
      <c r="T201" s="1">
        <v>128.9</v>
      </c>
      <c r="U201" s="1">
        <v>137.9</v>
      </c>
      <c r="V201" s="1">
        <v>143.6</v>
      </c>
      <c r="W201" s="1">
        <v>128.1</v>
      </c>
      <c r="X201" s="1">
        <v>133.6</v>
      </c>
      <c r="Y201" s="1">
        <v>133.6</v>
      </c>
      <c r="Z201" s="1">
        <v>120.1</v>
      </c>
      <c r="AA201" s="1">
        <v>129</v>
      </c>
      <c r="AB201" s="1">
        <v>144</v>
      </c>
      <c r="AC201" s="1">
        <v>128.19999999999999</v>
      </c>
      <c r="AD201" s="1">
        <v>130.19999999999999</v>
      </c>
      <c r="AE201" s="1">
        <v>137.5</v>
      </c>
      <c r="AF201" s="6">
        <f t="shared" si="12"/>
        <v>136.23846153846154</v>
      </c>
      <c r="AG201" s="6">
        <f t="shared" si="13"/>
        <v>140.19999999999999</v>
      </c>
      <c r="AH201" s="6">
        <f t="shared" si="14"/>
        <v>135.46666666666667</v>
      </c>
      <c r="AI201" s="6">
        <f t="shared" si="15"/>
        <v>133.88</v>
      </c>
      <c r="AJ201" s="6">
        <f>IFERROR(AVERAGE(Main[[#This Row],[Health]],Main[[#This Row],[Personal care and effects]]),"NA")</f>
        <v>130.89999999999998</v>
      </c>
    </row>
    <row r="202" spans="1:36" ht="13.2" x14ac:dyDescent="0.25">
      <c r="A202" s="1" t="s">
        <v>40</v>
      </c>
      <c r="B202" s="1">
        <v>2018</v>
      </c>
      <c r="C202" s="1" t="s">
        <v>46</v>
      </c>
      <c r="D202" s="8">
        <f>DATEVALUE(Main[[#This Row],[Month]]&amp;Main[[#This Row],[Year]])</f>
        <v>43282</v>
      </c>
      <c r="E202" s="1">
        <v>137.5</v>
      </c>
      <c r="F202" s="1">
        <v>149.1</v>
      </c>
      <c r="G202" s="1">
        <v>139.19999999999999</v>
      </c>
      <c r="H202" s="1">
        <v>142.5</v>
      </c>
      <c r="I202" s="1">
        <v>121.4</v>
      </c>
      <c r="J202" s="1">
        <v>151.6</v>
      </c>
      <c r="K202" s="1">
        <v>155.9</v>
      </c>
      <c r="L202" s="1">
        <v>121.7</v>
      </c>
      <c r="M202" s="1">
        <v>113.5</v>
      </c>
      <c r="N202" s="1">
        <v>138.9</v>
      </c>
      <c r="O202" s="1">
        <v>130.30000000000001</v>
      </c>
      <c r="P202" s="1">
        <v>152.30000000000001</v>
      </c>
      <c r="Q202" s="1">
        <v>141.4</v>
      </c>
      <c r="R202" s="1">
        <v>157.5</v>
      </c>
      <c r="S202" s="1">
        <v>146.80000000000001</v>
      </c>
      <c r="T202" s="1">
        <v>138.4</v>
      </c>
      <c r="U202" s="1">
        <v>145.6</v>
      </c>
      <c r="V202" s="1">
        <v>143.6</v>
      </c>
      <c r="W202" s="1">
        <v>139.69999999999999</v>
      </c>
      <c r="X202" s="1">
        <v>138.6</v>
      </c>
      <c r="Y202" s="1">
        <v>137</v>
      </c>
      <c r="Z202" s="1">
        <v>123.6</v>
      </c>
      <c r="AA202" s="1">
        <v>133.1</v>
      </c>
      <c r="AB202" s="1">
        <v>144.69999999999999</v>
      </c>
      <c r="AC202" s="1">
        <v>130.1</v>
      </c>
      <c r="AD202" s="1">
        <v>133.19999999999999</v>
      </c>
      <c r="AE202" s="1">
        <v>139.80000000000001</v>
      </c>
      <c r="AF202" s="6">
        <f t="shared" si="12"/>
        <v>138.1</v>
      </c>
      <c r="AG202" s="6">
        <f t="shared" si="13"/>
        <v>141.26666666666668</v>
      </c>
      <c r="AH202" s="6">
        <f t="shared" si="14"/>
        <v>143.60000000000002</v>
      </c>
      <c r="AI202" s="6">
        <f t="shared" si="15"/>
        <v>138.04000000000002</v>
      </c>
      <c r="AJ202" s="6">
        <f>IFERROR(AVERAGE(Main[[#This Row],[Health]],Main[[#This Row],[Personal care and effects]]),"NA")</f>
        <v>133.55000000000001</v>
      </c>
    </row>
    <row r="203" spans="1:36" ht="13.2" x14ac:dyDescent="0.25">
      <c r="A203" s="1" t="s">
        <v>36</v>
      </c>
      <c r="B203" s="1">
        <v>2018</v>
      </c>
      <c r="C203" s="1" t="s">
        <v>47</v>
      </c>
      <c r="D203" s="8">
        <f>DATEVALUE(Main[[#This Row],[Month]]&amp;Main[[#This Row],[Year]])</f>
        <v>43313</v>
      </c>
      <c r="E203" s="1">
        <v>139.19999999999999</v>
      </c>
      <c r="F203" s="1">
        <v>148.80000000000001</v>
      </c>
      <c r="G203" s="1">
        <v>139.1</v>
      </c>
      <c r="H203" s="1">
        <v>143.5</v>
      </c>
      <c r="I203" s="1">
        <v>125</v>
      </c>
      <c r="J203" s="1">
        <v>154.4</v>
      </c>
      <c r="K203" s="1">
        <v>156.30000000000001</v>
      </c>
      <c r="L203" s="1">
        <v>126.8</v>
      </c>
      <c r="M203" s="1">
        <v>115.4</v>
      </c>
      <c r="N203" s="1">
        <v>138.6</v>
      </c>
      <c r="O203" s="1">
        <v>133.80000000000001</v>
      </c>
      <c r="P203" s="1">
        <v>155.19999999999999</v>
      </c>
      <c r="Q203" s="1">
        <v>142.69999999999999</v>
      </c>
      <c r="R203" s="1">
        <v>156.4</v>
      </c>
      <c r="S203" s="1">
        <v>152.1</v>
      </c>
      <c r="T203" s="1">
        <v>145.80000000000001</v>
      </c>
      <c r="U203" s="1">
        <v>151.30000000000001</v>
      </c>
      <c r="V203" s="1" t="s">
        <v>38</v>
      </c>
      <c r="W203" s="1">
        <v>147.69999999999999</v>
      </c>
      <c r="X203" s="1">
        <v>143.80000000000001</v>
      </c>
      <c r="Y203" s="1">
        <v>139.4</v>
      </c>
      <c r="Z203" s="1">
        <v>128.30000000000001</v>
      </c>
      <c r="AA203" s="1">
        <v>138.6</v>
      </c>
      <c r="AB203" s="1">
        <v>146.9</v>
      </c>
      <c r="AC203" s="1">
        <v>131.30000000000001</v>
      </c>
      <c r="AD203" s="1">
        <v>136.6</v>
      </c>
      <c r="AE203" s="1">
        <v>142.5</v>
      </c>
      <c r="AF203" s="6">
        <f t="shared" si="12"/>
        <v>139.90769230769232</v>
      </c>
      <c r="AG203" s="6">
        <f t="shared" si="13"/>
        <v>143.86666666666667</v>
      </c>
      <c r="AH203" s="6">
        <f t="shared" si="14"/>
        <v>149.73333333333332</v>
      </c>
      <c r="AI203" s="6">
        <f t="shared" si="15"/>
        <v>141.67500000000001</v>
      </c>
      <c r="AJ203" s="6">
        <f>IFERROR(AVERAGE(Main[[#This Row],[Health]],Main[[#This Row],[Personal care and effects]]),"NA")</f>
        <v>135.35000000000002</v>
      </c>
    </row>
    <row r="204" spans="1:36" ht="13.2" x14ac:dyDescent="0.25">
      <c r="A204" s="1" t="s">
        <v>39</v>
      </c>
      <c r="B204" s="1">
        <v>2018</v>
      </c>
      <c r="C204" s="1" t="s">
        <v>47</v>
      </c>
      <c r="D204" s="8">
        <f>DATEVALUE(Main[[#This Row],[Month]]&amp;Main[[#This Row],[Year]])</f>
        <v>43313</v>
      </c>
      <c r="E204" s="1">
        <v>136.5</v>
      </c>
      <c r="F204" s="1">
        <v>146.4</v>
      </c>
      <c r="G204" s="1">
        <v>136.6</v>
      </c>
      <c r="H204" s="1">
        <v>141.19999999999999</v>
      </c>
      <c r="I204" s="1">
        <v>117.4</v>
      </c>
      <c r="J204" s="1">
        <v>146.30000000000001</v>
      </c>
      <c r="K204" s="1">
        <v>157.30000000000001</v>
      </c>
      <c r="L204" s="1">
        <v>113.6</v>
      </c>
      <c r="M204" s="1">
        <v>113.3</v>
      </c>
      <c r="N204" s="1">
        <v>141.1</v>
      </c>
      <c r="O204" s="1">
        <v>127.4</v>
      </c>
      <c r="P204" s="1">
        <v>150.4</v>
      </c>
      <c r="Q204" s="1">
        <v>140.1</v>
      </c>
      <c r="R204" s="1">
        <v>162.1</v>
      </c>
      <c r="S204" s="1">
        <v>140</v>
      </c>
      <c r="T204" s="1">
        <v>129</v>
      </c>
      <c r="U204" s="1">
        <v>138.30000000000001</v>
      </c>
      <c r="V204" s="1">
        <v>144.6</v>
      </c>
      <c r="W204" s="1">
        <v>129.80000000000001</v>
      </c>
      <c r="X204" s="1">
        <v>134.4</v>
      </c>
      <c r="Y204" s="1">
        <v>134.9</v>
      </c>
      <c r="Z204" s="1">
        <v>120.7</v>
      </c>
      <c r="AA204" s="1">
        <v>129.80000000000001</v>
      </c>
      <c r="AB204" s="1">
        <v>145.30000000000001</v>
      </c>
      <c r="AC204" s="1">
        <v>128.30000000000001</v>
      </c>
      <c r="AD204" s="1">
        <v>131</v>
      </c>
      <c r="AE204" s="1">
        <v>138</v>
      </c>
      <c r="AF204" s="6">
        <f t="shared" si="12"/>
        <v>135.96923076923076</v>
      </c>
      <c r="AG204" s="6">
        <f t="shared" si="13"/>
        <v>140.96666666666667</v>
      </c>
      <c r="AH204" s="6">
        <f t="shared" si="14"/>
        <v>135.76666666666668</v>
      </c>
      <c r="AI204" s="6">
        <f t="shared" si="15"/>
        <v>134.95999999999998</v>
      </c>
      <c r="AJ204" s="6">
        <f>IFERROR(AVERAGE(Main[[#This Row],[Health]],Main[[#This Row],[Personal care and effects]]),"NA")</f>
        <v>131.60000000000002</v>
      </c>
    </row>
    <row r="205" spans="1:36" ht="13.2" x14ac:dyDescent="0.25">
      <c r="A205" s="1" t="s">
        <v>40</v>
      </c>
      <c r="B205" s="1">
        <v>2018</v>
      </c>
      <c r="C205" s="1" t="s">
        <v>47</v>
      </c>
      <c r="D205" s="8">
        <f>DATEVALUE(Main[[#This Row],[Month]]&amp;Main[[#This Row],[Year]])</f>
        <v>43313</v>
      </c>
      <c r="E205" s="1">
        <v>138.30000000000001</v>
      </c>
      <c r="F205" s="1">
        <v>148</v>
      </c>
      <c r="G205" s="1">
        <v>138.1</v>
      </c>
      <c r="H205" s="1">
        <v>142.6</v>
      </c>
      <c r="I205" s="1">
        <v>122.2</v>
      </c>
      <c r="J205" s="1">
        <v>150.6</v>
      </c>
      <c r="K205" s="1">
        <v>156.6</v>
      </c>
      <c r="L205" s="1">
        <v>122.4</v>
      </c>
      <c r="M205" s="1">
        <v>114.7</v>
      </c>
      <c r="N205" s="1">
        <v>139.4</v>
      </c>
      <c r="O205" s="1">
        <v>131.1</v>
      </c>
      <c r="P205" s="1">
        <v>153</v>
      </c>
      <c r="Q205" s="1">
        <v>141.69999999999999</v>
      </c>
      <c r="R205" s="1">
        <v>157.9</v>
      </c>
      <c r="S205" s="1">
        <v>147.30000000000001</v>
      </c>
      <c r="T205" s="1">
        <v>138.80000000000001</v>
      </c>
      <c r="U205" s="1">
        <v>146.1</v>
      </c>
      <c r="V205" s="1">
        <v>144.6</v>
      </c>
      <c r="W205" s="1">
        <v>140.9</v>
      </c>
      <c r="X205" s="1">
        <v>139.4</v>
      </c>
      <c r="Y205" s="1">
        <v>137.69999999999999</v>
      </c>
      <c r="Z205" s="1">
        <v>124.3</v>
      </c>
      <c r="AA205" s="1">
        <v>133.6</v>
      </c>
      <c r="AB205" s="1">
        <v>146</v>
      </c>
      <c r="AC205" s="1">
        <v>130.1</v>
      </c>
      <c r="AD205" s="1">
        <v>133.9</v>
      </c>
      <c r="AE205" s="1">
        <v>140.4</v>
      </c>
      <c r="AF205" s="6">
        <f t="shared" si="12"/>
        <v>138.36153846153849</v>
      </c>
      <c r="AG205" s="6">
        <f t="shared" si="13"/>
        <v>141.79999999999998</v>
      </c>
      <c r="AH205" s="6">
        <f t="shared" si="14"/>
        <v>144.06666666666669</v>
      </c>
      <c r="AI205" s="6">
        <f t="shared" si="15"/>
        <v>139.04</v>
      </c>
      <c r="AJ205" s="6">
        <f>IFERROR(AVERAGE(Main[[#This Row],[Health]],Main[[#This Row],[Personal care and effects]]),"NA")</f>
        <v>133.89999999999998</v>
      </c>
    </row>
    <row r="206" spans="1:36" ht="13.2" x14ac:dyDescent="0.25">
      <c r="A206" s="1" t="s">
        <v>36</v>
      </c>
      <c r="B206" s="1">
        <v>2018</v>
      </c>
      <c r="C206" s="1" t="s">
        <v>48</v>
      </c>
      <c r="D206" s="8">
        <f>DATEVALUE(Main[[#This Row],[Month]]&amp;Main[[#This Row],[Year]])</f>
        <v>43344</v>
      </c>
      <c r="E206" s="1">
        <v>139.4</v>
      </c>
      <c r="F206" s="1">
        <v>147.19999999999999</v>
      </c>
      <c r="G206" s="1">
        <v>136.6</v>
      </c>
      <c r="H206" s="1">
        <v>143.69999999999999</v>
      </c>
      <c r="I206" s="1">
        <v>124.6</v>
      </c>
      <c r="J206" s="1">
        <v>150.1</v>
      </c>
      <c r="K206" s="1">
        <v>149.4</v>
      </c>
      <c r="L206" s="1">
        <v>125.4</v>
      </c>
      <c r="M206" s="1">
        <v>114.4</v>
      </c>
      <c r="N206" s="1">
        <v>138.69999999999999</v>
      </c>
      <c r="O206" s="1">
        <v>133.1</v>
      </c>
      <c r="P206" s="1">
        <v>155.9</v>
      </c>
      <c r="Q206" s="1">
        <v>141.30000000000001</v>
      </c>
      <c r="R206" s="1">
        <v>157.69999999999999</v>
      </c>
      <c r="S206" s="1">
        <v>152.1</v>
      </c>
      <c r="T206" s="1">
        <v>146.1</v>
      </c>
      <c r="U206" s="1">
        <v>151.30000000000001</v>
      </c>
      <c r="V206" s="1" t="s">
        <v>38</v>
      </c>
      <c r="W206" s="1">
        <v>149</v>
      </c>
      <c r="X206" s="1">
        <v>144</v>
      </c>
      <c r="Y206" s="1">
        <v>140</v>
      </c>
      <c r="Z206" s="1">
        <v>129.9</v>
      </c>
      <c r="AA206" s="1">
        <v>140</v>
      </c>
      <c r="AB206" s="1">
        <v>147.6</v>
      </c>
      <c r="AC206" s="1">
        <v>132</v>
      </c>
      <c r="AD206" s="1">
        <v>137.4</v>
      </c>
      <c r="AE206" s="1">
        <v>142.1</v>
      </c>
      <c r="AF206" s="6">
        <f t="shared" si="12"/>
        <v>138.44615384615386</v>
      </c>
      <c r="AG206" s="6">
        <f t="shared" si="13"/>
        <v>145.03333333333333</v>
      </c>
      <c r="AH206" s="6">
        <f t="shared" si="14"/>
        <v>149.83333333333334</v>
      </c>
      <c r="AI206" s="6">
        <f t="shared" si="15"/>
        <v>142.625</v>
      </c>
      <c r="AJ206" s="6">
        <f>IFERROR(AVERAGE(Main[[#This Row],[Health]],Main[[#This Row],[Personal care and effects]]),"NA")</f>
        <v>136</v>
      </c>
    </row>
    <row r="207" spans="1:36" ht="13.2" x14ac:dyDescent="0.25">
      <c r="A207" s="1" t="s">
        <v>39</v>
      </c>
      <c r="B207" s="1">
        <v>2018</v>
      </c>
      <c r="C207" s="1" t="s">
        <v>48</v>
      </c>
      <c r="D207" s="8">
        <f>DATEVALUE(Main[[#This Row],[Month]]&amp;Main[[#This Row],[Year]])</f>
        <v>43344</v>
      </c>
      <c r="E207" s="1">
        <v>137</v>
      </c>
      <c r="F207" s="1">
        <v>143.1</v>
      </c>
      <c r="G207" s="1">
        <v>132.80000000000001</v>
      </c>
      <c r="H207" s="1">
        <v>141.5</v>
      </c>
      <c r="I207" s="1">
        <v>117.8</v>
      </c>
      <c r="J207" s="1">
        <v>140</v>
      </c>
      <c r="K207" s="1">
        <v>151.30000000000001</v>
      </c>
      <c r="L207" s="1">
        <v>113.5</v>
      </c>
      <c r="M207" s="1">
        <v>112.3</v>
      </c>
      <c r="N207" s="1">
        <v>141.19999999999999</v>
      </c>
      <c r="O207" s="1">
        <v>127.7</v>
      </c>
      <c r="P207" s="1">
        <v>151.30000000000001</v>
      </c>
      <c r="Q207" s="1">
        <v>138.9</v>
      </c>
      <c r="R207" s="1">
        <v>163.30000000000001</v>
      </c>
      <c r="S207" s="1">
        <v>140.80000000000001</v>
      </c>
      <c r="T207" s="1">
        <v>129.30000000000001</v>
      </c>
      <c r="U207" s="1">
        <v>139.1</v>
      </c>
      <c r="V207" s="1">
        <v>145.30000000000001</v>
      </c>
      <c r="W207" s="1">
        <v>131.19999999999999</v>
      </c>
      <c r="X207" s="1">
        <v>134.9</v>
      </c>
      <c r="Y207" s="1">
        <v>135.69999999999999</v>
      </c>
      <c r="Z207" s="1">
        <v>122.5</v>
      </c>
      <c r="AA207" s="1">
        <v>130.19999999999999</v>
      </c>
      <c r="AB207" s="1">
        <v>145.19999999999999</v>
      </c>
      <c r="AC207" s="1">
        <v>129.30000000000001</v>
      </c>
      <c r="AD207" s="1">
        <v>131.9</v>
      </c>
      <c r="AE207" s="1">
        <v>138.1</v>
      </c>
      <c r="AF207" s="6">
        <f t="shared" si="12"/>
        <v>134.49230769230769</v>
      </c>
      <c r="AG207" s="6">
        <f t="shared" si="13"/>
        <v>141.79999999999998</v>
      </c>
      <c r="AH207" s="6">
        <f t="shared" si="14"/>
        <v>136.4</v>
      </c>
      <c r="AI207" s="6">
        <f t="shared" si="15"/>
        <v>135.82</v>
      </c>
      <c r="AJ207" s="6">
        <f>IFERROR(AVERAGE(Main[[#This Row],[Health]],Main[[#This Row],[Personal care and effects]]),"NA")</f>
        <v>132.5</v>
      </c>
    </row>
    <row r="208" spans="1:36" ht="13.2" x14ac:dyDescent="0.25">
      <c r="A208" s="1" t="s">
        <v>40</v>
      </c>
      <c r="B208" s="1">
        <v>2018</v>
      </c>
      <c r="C208" s="1" t="s">
        <v>48</v>
      </c>
      <c r="D208" s="8">
        <f>DATEVALUE(Main[[#This Row],[Month]]&amp;Main[[#This Row],[Year]])</f>
        <v>43344</v>
      </c>
      <c r="E208" s="1">
        <v>138.6</v>
      </c>
      <c r="F208" s="1">
        <v>145.80000000000001</v>
      </c>
      <c r="G208" s="1">
        <v>135.1</v>
      </c>
      <c r="H208" s="1">
        <v>142.9</v>
      </c>
      <c r="I208" s="1">
        <v>122.1</v>
      </c>
      <c r="J208" s="1">
        <v>145.4</v>
      </c>
      <c r="K208" s="1">
        <v>150</v>
      </c>
      <c r="L208" s="1">
        <v>121.4</v>
      </c>
      <c r="M208" s="1">
        <v>113.7</v>
      </c>
      <c r="N208" s="1">
        <v>139.5</v>
      </c>
      <c r="O208" s="1">
        <v>130.80000000000001</v>
      </c>
      <c r="P208" s="1">
        <v>153.80000000000001</v>
      </c>
      <c r="Q208" s="1">
        <v>140.4</v>
      </c>
      <c r="R208" s="1">
        <v>159.19999999999999</v>
      </c>
      <c r="S208" s="1">
        <v>147.69999999999999</v>
      </c>
      <c r="T208" s="1">
        <v>139.1</v>
      </c>
      <c r="U208" s="1">
        <v>146.5</v>
      </c>
      <c r="V208" s="1">
        <v>145.30000000000001</v>
      </c>
      <c r="W208" s="1">
        <v>142.30000000000001</v>
      </c>
      <c r="X208" s="1">
        <v>139.69999999999999</v>
      </c>
      <c r="Y208" s="1">
        <v>138.4</v>
      </c>
      <c r="Z208" s="1">
        <v>126</v>
      </c>
      <c r="AA208" s="1">
        <v>134.5</v>
      </c>
      <c r="AB208" s="1">
        <v>146.19999999999999</v>
      </c>
      <c r="AC208" s="1">
        <v>130.9</v>
      </c>
      <c r="AD208" s="1">
        <v>134.69999999999999</v>
      </c>
      <c r="AE208" s="1">
        <v>140.19999999999999</v>
      </c>
      <c r="AF208" s="6">
        <f t="shared" si="12"/>
        <v>136.88461538461539</v>
      </c>
      <c r="AG208" s="6">
        <f t="shared" si="13"/>
        <v>142.79999999999998</v>
      </c>
      <c r="AH208" s="6">
        <f t="shared" si="14"/>
        <v>144.43333333333331</v>
      </c>
      <c r="AI208" s="6">
        <f t="shared" si="15"/>
        <v>139.9</v>
      </c>
      <c r="AJ208" s="6">
        <f>IFERROR(AVERAGE(Main[[#This Row],[Health]],Main[[#This Row],[Personal care and effects]]),"NA")</f>
        <v>134.65</v>
      </c>
    </row>
    <row r="209" spans="1:36" ht="13.2" x14ac:dyDescent="0.25">
      <c r="A209" s="1" t="s">
        <v>36</v>
      </c>
      <c r="B209" s="1">
        <v>2018</v>
      </c>
      <c r="C209" s="1" t="s">
        <v>49</v>
      </c>
      <c r="D209" s="8">
        <f>DATEVALUE(Main[[#This Row],[Month]]&amp;Main[[#This Row],[Year]])</f>
        <v>43374</v>
      </c>
      <c r="E209" s="1">
        <v>139.30000000000001</v>
      </c>
      <c r="F209" s="1">
        <v>147.6</v>
      </c>
      <c r="G209" s="1">
        <v>134.6</v>
      </c>
      <c r="H209" s="1">
        <v>141.9</v>
      </c>
      <c r="I209" s="1">
        <v>123.5</v>
      </c>
      <c r="J209" s="1">
        <v>144.5</v>
      </c>
      <c r="K209" s="1">
        <v>147.6</v>
      </c>
      <c r="L209" s="1">
        <v>121.4</v>
      </c>
      <c r="M209" s="1">
        <v>112.3</v>
      </c>
      <c r="N209" s="1">
        <v>139.5</v>
      </c>
      <c r="O209" s="1">
        <v>134.6</v>
      </c>
      <c r="P209" s="1">
        <v>155.19999999999999</v>
      </c>
      <c r="Q209" s="1">
        <v>140.19999999999999</v>
      </c>
      <c r="R209" s="1">
        <v>159.6</v>
      </c>
      <c r="S209" s="1">
        <v>150.69999999999999</v>
      </c>
      <c r="T209" s="1">
        <v>144.5</v>
      </c>
      <c r="U209" s="1">
        <v>149.80000000000001</v>
      </c>
      <c r="V209" s="1" t="s">
        <v>38</v>
      </c>
      <c r="W209" s="1">
        <v>149.69999999999999</v>
      </c>
      <c r="X209" s="1">
        <v>147.5</v>
      </c>
      <c r="Y209" s="1">
        <v>144.80000000000001</v>
      </c>
      <c r="Z209" s="1">
        <v>130.80000000000001</v>
      </c>
      <c r="AA209" s="1">
        <v>140.1</v>
      </c>
      <c r="AB209" s="1">
        <v>148</v>
      </c>
      <c r="AC209" s="1">
        <v>134.4</v>
      </c>
      <c r="AD209" s="1">
        <v>139.80000000000001</v>
      </c>
      <c r="AE209" s="1">
        <v>142.19999999999999</v>
      </c>
      <c r="AF209" s="6">
        <f t="shared" si="12"/>
        <v>137.09230769230768</v>
      </c>
      <c r="AG209" s="6">
        <f t="shared" si="13"/>
        <v>146.5</v>
      </c>
      <c r="AH209" s="6">
        <f t="shared" si="14"/>
        <v>148.33333333333334</v>
      </c>
      <c r="AI209" s="6">
        <f t="shared" si="15"/>
        <v>144</v>
      </c>
      <c r="AJ209" s="6">
        <f>IFERROR(AVERAGE(Main[[#This Row],[Health]],Main[[#This Row],[Personal care and effects]]),"NA")</f>
        <v>139.60000000000002</v>
      </c>
    </row>
    <row r="210" spans="1:36" ht="13.2" x14ac:dyDescent="0.25">
      <c r="A210" s="1" t="s">
        <v>39</v>
      </c>
      <c r="B210" s="1">
        <v>2018</v>
      </c>
      <c r="C210" s="1" t="s">
        <v>49</v>
      </c>
      <c r="D210" s="8">
        <f>DATEVALUE(Main[[#This Row],[Month]]&amp;Main[[#This Row],[Year]])</f>
        <v>43374</v>
      </c>
      <c r="E210" s="1">
        <v>137.6</v>
      </c>
      <c r="F210" s="1">
        <v>144.9</v>
      </c>
      <c r="G210" s="1">
        <v>133.5</v>
      </c>
      <c r="H210" s="1">
        <v>141.5</v>
      </c>
      <c r="I210" s="1">
        <v>118</v>
      </c>
      <c r="J210" s="1">
        <v>139.5</v>
      </c>
      <c r="K210" s="1">
        <v>153</v>
      </c>
      <c r="L210" s="1">
        <v>113.2</v>
      </c>
      <c r="M210" s="1">
        <v>112.8</v>
      </c>
      <c r="N210" s="1">
        <v>141.1</v>
      </c>
      <c r="O210" s="1">
        <v>127.6</v>
      </c>
      <c r="P210" s="1">
        <v>152</v>
      </c>
      <c r="Q210" s="1">
        <v>139.4</v>
      </c>
      <c r="R210" s="1">
        <v>164</v>
      </c>
      <c r="S210" s="1">
        <v>141.5</v>
      </c>
      <c r="T210" s="1">
        <v>129.80000000000001</v>
      </c>
      <c r="U210" s="1">
        <v>139.69999999999999</v>
      </c>
      <c r="V210" s="1">
        <v>146.30000000000001</v>
      </c>
      <c r="W210" s="1">
        <v>133.4</v>
      </c>
      <c r="X210" s="1">
        <v>135.1</v>
      </c>
      <c r="Y210" s="1">
        <v>136.19999999999999</v>
      </c>
      <c r="Z210" s="1">
        <v>123.3</v>
      </c>
      <c r="AA210" s="1">
        <v>130.69999999999999</v>
      </c>
      <c r="AB210" s="1">
        <v>145.5</v>
      </c>
      <c r="AC210" s="1">
        <v>130.4</v>
      </c>
      <c r="AD210" s="1">
        <v>132.5</v>
      </c>
      <c r="AE210" s="1">
        <v>138.9</v>
      </c>
      <c r="AF210" s="6">
        <f t="shared" si="12"/>
        <v>134.93076923076922</v>
      </c>
      <c r="AG210" s="6">
        <f t="shared" si="13"/>
        <v>142.4</v>
      </c>
      <c r="AH210" s="6">
        <f t="shared" si="14"/>
        <v>137</v>
      </c>
      <c r="AI210" s="6">
        <f t="shared" si="15"/>
        <v>136.72</v>
      </c>
      <c r="AJ210" s="6">
        <f>IFERROR(AVERAGE(Main[[#This Row],[Health]],Main[[#This Row],[Personal care and effects]]),"NA")</f>
        <v>133.30000000000001</v>
      </c>
    </row>
    <row r="211" spans="1:36" ht="13.2" x14ac:dyDescent="0.25">
      <c r="A211" s="1" t="s">
        <v>40</v>
      </c>
      <c r="B211" s="1">
        <v>2018</v>
      </c>
      <c r="C211" s="1" t="s">
        <v>49</v>
      </c>
      <c r="D211" s="8">
        <f>DATEVALUE(Main[[#This Row],[Month]]&amp;Main[[#This Row],[Year]])</f>
        <v>43374</v>
      </c>
      <c r="E211" s="1">
        <v>137.4</v>
      </c>
      <c r="F211" s="1">
        <v>149.5</v>
      </c>
      <c r="G211" s="1">
        <v>137.30000000000001</v>
      </c>
      <c r="H211" s="1">
        <v>141.9</v>
      </c>
      <c r="I211" s="1">
        <v>121.1</v>
      </c>
      <c r="J211" s="1">
        <v>142.5</v>
      </c>
      <c r="K211" s="1">
        <v>146.69999999999999</v>
      </c>
      <c r="L211" s="1">
        <v>119.1</v>
      </c>
      <c r="M211" s="1">
        <v>111.9</v>
      </c>
      <c r="N211" s="1">
        <v>141</v>
      </c>
      <c r="O211" s="1">
        <v>133.6</v>
      </c>
      <c r="P211" s="1">
        <v>154.5</v>
      </c>
      <c r="Q211" s="1">
        <v>139.69999999999999</v>
      </c>
      <c r="R211" s="1">
        <v>162.6</v>
      </c>
      <c r="S211" s="1">
        <v>148</v>
      </c>
      <c r="T211" s="1">
        <v>139.19999999999999</v>
      </c>
      <c r="U211" s="1">
        <v>146.80000000000001</v>
      </c>
      <c r="V211" s="1">
        <v>146.9</v>
      </c>
      <c r="W211" s="1">
        <v>145.30000000000001</v>
      </c>
      <c r="X211" s="1">
        <v>142.19999999999999</v>
      </c>
      <c r="Y211" s="1">
        <v>142.1</v>
      </c>
      <c r="Z211" s="1">
        <v>125.5</v>
      </c>
      <c r="AA211" s="1">
        <v>136.5</v>
      </c>
      <c r="AB211" s="1">
        <v>147.80000000000001</v>
      </c>
      <c r="AC211" s="1">
        <v>132</v>
      </c>
      <c r="AD211" s="1">
        <v>136.30000000000001</v>
      </c>
      <c r="AE211" s="1">
        <v>140.80000000000001</v>
      </c>
      <c r="AF211" s="6">
        <f t="shared" si="12"/>
        <v>136.63076923076923</v>
      </c>
      <c r="AG211" s="6">
        <f t="shared" si="13"/>
        <v>145.13333333333335</v>
      </c>
      <c r="AH211" s="6">
        <f t="shared" si="14"/>
        <v>144.66666666666666</v>
      </c>
      <c r="AI211" s="6">
        <f t="shared" si="15"/>
        <v>141.54000000000002</v>
      </c>
      <c r="AJ211" s="6">
        <f>IFERROR(AVERAGE(Main[[#This Row],[Health]],Main[[#This Row],[Personal care and effects]]),"NA")</f>
        <v>137.05000000000001</v>
      </c>
    </row>
    <row r="212" spans="1:36" ht="13.2" x14ac:dyDescent="0.25">
      <c r="A212" s="1" t="s">
        <v>36</v>
      </c>
      <c r="B212" s="1">
        <v>2018</v>
      </c>
      <c r="C212" s="1" t="s">
        <v>50</v>
      </c>
      <c r="D212" s="8">
        <f>DATEVALUE(Main[[#This Row],[Month]]&amp;Main[[#This Row],[Year]])</f>
        <v>43405</v>
      </c>
      <c r="E212" s="1">
        <v>137.1</v>
      </c>
      <c r="F212" s="1">
        <v>150.80000000000001</v>
      </c>
      <c r="G212" s="1">
        <v>136.69999999999999</v>
      </c>
      <c r="H212" s="1">
        <v>141.9</v>
      </c>
      <c r="I212" s="1">
        <v>122.8</v>
      </c>
      <c r="J212" s="1">
        <v>143.9</v>
      </c>
      <c r="K212" s="1">
        <v>147.5</v>
      </c>
      <c r="L212" s="1">
        <v>121</v>
      </c>
      <c r="M212" s="1">
        <v>111.6</v>
      </c>
      <c r="N212" s="1">
        <v>140.6</v>
      </c>
      <c r="O212" s="1">
        <v>137.5</v>
      </c>
      <c r="P212" s="1">
        <v>156.1</v>
      </c>
      <c r="Q212" s="1">
        <v>140</v>
      </c>
      <c r="R212" s="1">
        <v>161.9</v>
      </c>
      <c r="S212" s="1">
        <v>151.69999999999999</v>
      </c>
      <c r="T212" s="1">
        <v>145.5</v>
      </c>
      <c r="U212" s="1">
        <v>150.80000000000001</v>
      </c>
      <c r="V212" s="1" t="s">
        <v>38</v>
      </c>
      <c r="W212" s="1">
        <v>150.30000000000001</v>
      </c>
      <c r="X212" s="1">
        <v>148</v>
      </c>
      <c r="Y212" s="1">
        <v>145.4</v>
      </c>
      <c r="Z212" s="1">
        <v>130.30000000000001</v>
      </c>
      <c r="AA212" s="1">
        <v>143.1</v>
      </c>
      <c r="AB212" s="1">
        <v>150.19999999999999</v>
      </c>
      <c r="AC212" s="1">
        <v>133.1</v>
      </c>
      <c r="AD212" s="1">
        <v>140.1</v>
      </c>
      <c r="AE212" s="1">
        <v>142.4</v>
      </c>
      <c r="AF212" s="6">
        <f t="shared" si="12"/>
        <v>137.49999999999997</v>
      </c>
      <c r="AG212" s="6">
        <f t="shared" si="13"/>
        <v>148.36666666666667</v>
      </c>
      <c r="AH212" s="6">
        <f t="shared" si="14"/>
        <v>149.33333333333334</v>
      </c>
      <c r="AI212" s="6">
        <f t="shared" si="15"/>
        <v>144.69999999999999</v>
      </c>
      <c r="AJ212" s="6">
        <f>IFERROR(AVERAGE(Main[[#This Row],[Health]],Main[[#This Row],[Personal care and effects]]),"NA")</f>
        <v>139.25</v>
      </c>
    </row>
    <row r="213" spans="1:36" ht="13.2" x14ac:dyDescent="0.25">
      <c r="A213" s="1" t="s">
        <v>39</v>
      </c>
      <c r="B213" s="1">
        <v>2018</v>
      </c>
      <c r="C213" s="1" t="s">
        <v>50</v>
      </c>
      <c r="D213" s="8">
        <f>DATEVALUE(Main[[#This Row],[Month]]&amp;Main[[#This Row],[Year]])</f>
        <v>43405</v>
      </c>
      <c r="E213" s="1">
        <v>138.1</v>
      </c>
      <c r="F213" s="1">
        <v>146.30000000000001</v>
      </c>
      <c r="G213" s="1">
        <v>137.80000000000001</v>
      </c>
      <c r="H213" s="1">
        <v>141.6</v>
      </c>
      <c r="I213" s="1">
        <v>118.1</v>
      </c>
      <c r="J213" s="1">
        <v>141.5</v>
      </c>
      <c r="K213" s="1">
        <v>145.19999999999999</v>
      </c>
      <c r="L213" s="1">
        <v>115.3</v>
      </c>
      <c r="M213" s="1">
        <v>112.5</v>
      </c>
      <c r="N213" s="1">
        <v>141.4</v>
      </c>
      <c r="O213" s="1">
        <v>128</v>
      </c>
      <c r="P213" s="1">
        <v>152.6</v>
      </c>
      <c r="Q213" s="1">
        <v>139.1</v>
      </c>
      <c r="R213" s="1">
        <v>164.4</v>
      </c>
      <c r="S213" s="1">
        <v>142.4</v>
      </c>
      <c r="T213" s="1">
        <v>130.19999999999999</v>
      </c>
      <c r="U213" s="1">
        <v>140.5</v>
      </c>
      <c r="V213" s="1">
        <v>146.9</v>
      </c>
      <c r="W213" s="1">
        <v>136.69999999999999</v>
      </c>
      <c r="X213" s="1">
        <v>135.80000000000001</v>
      </c>
      <c r="Y213" s="1">
        <v>136.80000000000001</v>
      </c>
      <c r="Z213" s="1">
        <v>121.2</v>
      </c>
      <c r="AA213" s="1">
        <v>131.30000000000001</v>
      </c>
      <c r="AB213" s="1">
        <v>146.1</v>
      </c>
      <c r="AC213" s="1">
        <v>130.5</v>
      </c>
      <c r="AD213" s="1">
        <v>132.19999999999999</v>
      </c>
      <c r="AE213" s="1">
        <v>139</v>
      </c>
      <c r="AF213" s="6">
        <f t="shared" si="12"/>
        <v>135.19230769230768</v>
      </c>
      <c r="AG213" s="6">
        <f t="shared" si="13"/>
        <v>142.63333333333335</v>
      </c>
      <c r="AH213" s="6">
        <f t="shared" si="14"/>
        <v>137.70000000000002</v>
      </c>
      <c r="AI213" s="6">
        <f t="shared" si="15"/>
        <v>137.34</v>
      </c>
      <c r="AJ213" s="6">
        <f>IFERROR(AVERAGE(Main[[#This Row],[Health]],Main[[#This Row],[Personal care and effects]]),"NA")</f>
        <v>133.65</v>
      </c>
    </row>
    <row r="214" spans="1:36" ht="13.2" x14ac:dyDescent="0.25">
      <c r="A214" s="1" t="s">
        <v>40</v>
      </c>
      <c r="B214" s="1">
        <v>2018</v>
      </c>
      <c r="C214" s="1" t="s">
        <v>50</v>
      </c>
      <c r="D214" s="8">
        <f>DATEVALUE(Main[[#This Row],[Month]]&amp;Main[[#This Row],[Year]])</f>
        <v>43405</v>
      </c>
      <c r="E214" s="1">
        <v>137.4</v>
      </c>
      <c r="F214" s="1">
        <v>149.19999999999999</v>
      </c>
      <c r="G214" s="1">
        <v>137.1</v>
      </c>
      <c r="H214" s="1">
        <v>141.80000000000001</v>
      </c>
      <c r="I214" s="1">
        <v>121.1</v>
      </c>
      <c r="J214" s="1">
        <v>142.80000000000001</v>
      </c>
      <c r="K214" s="1">
        <v>146.69999999999999</v>
      </c>
      <c r="L214" s="1">
        <v>119.1</v>
      </c>
      <c r="M214" s="1">
        <v>111.9</v>
      </c>
      <c r="N214" s="1">
        <v>140.9</v>
      </c>
      <c r="O214" s="1">
        <v>133.5</v>
      </c>
      <c r="P214" s="1">
        <v>154.5</v>
      </c>
      <c r="Q214" s="1">
        <v>139.69999999999999</v>
      </c>
      <c r="R214" s="1">
        <v>162.6</v>
      </c>
      <c r="S214" s="1">
        <v>148</v>
      </c>
      <c r="T214" s="1">
        <v>139.1</v>
      </c>
      <c r="U214" s="1">
        <v>146.69999999999999</v>
      </c>
      <c r="V214" s="1">
        <v>146.9</v>
      </c>
      <c r="W214" s="1">
        <v>145.1</v>
      </c>
      <c r="X214" s="1">
        <v>142.19999999999999</v>
      </c>
      <c r="Y214" s="1">
        <v>142.1</v>
      </c>
      <c r="Z214" s="1">
        <v>125.5</v>
      </c>
      <c r="AA214" s="1">
        <v>136.5</v>
      </c>
      <c r="AB214" s="1">
        <v>147.80000000000001</v>
      </c>
      <c r="AC214" s="1">
        <v>132</v>
      </c>
      <c r="AD214" s="1">
        <v>136.30000000000001</v>
      </c>
      <c r="AE214" s="1">
        <v>140.80000000000001</v>
      </c>
      <c r="AF214" s="6">
        <f t="shared" si="12"/>
        <v>136.59230769230771</v>
      </c>
      <c r="AG214" s="6">
        <f t="shared" si="13"/>
        <v>145.13333333333335</v>
      </c>
      <c r="AH214" s="6">
        <f t="shared" si="14"/>
        <v>144.6</v>
      </c>
      <c r="AI214" s="6">
        <f t="shared" si="15"/>
        <v>141.5</v>
      </c>
      <c r="AJ214" s="6">
        <f>IFERROR(AVERAGE(Main[[#This Row],[Health]],Main[[#This Row],[Personal care and effects]]),"NA")</f>
        <v>137.05000000000001</v>
      </c>
    </row>
    <row r="215" spans="1:36" ht="13.2" x14ac:dyDescent="0.25">
      <c r="A215" s="1" t="s">
        <v>36</v>
      </c>
      <c r="B215" s="1">
        <v>2018</v>
      </c>
      <c r="C215" s="1" t="s">
        <v>51</v>
      </c>
      <c r="D215" s="8">
        <f>DATEVALUE(Main[[#This Row],[Month]]&amp;Main[[#This Row],[Year]])</f>
        <v>43435</v>
      </c>
      <c r="E215" s="1">
        <v>137.1</v>
      </c>
      <c r="F215" s="1">
        <v>151.9</v>
      </c>
      <c r="G215" s="1">
        <v>137.4</v>
      </c>
      <c r="H215" s="1">
        <v>142.4</v>
      </c>
      <c r="I215" s="1">
        <v>124.2</v>
      </c>
      <c r="J215" s="1">
        <v>140.19999999999999</v>
      </c>
      <c r="K215" s="1">
        <v>136.6</v>
      </c>
      <c r="L215" s="1">
        <v>120.9</v>
      </c>
      <c r="M215" s="1">
        <v>109.9</v>
      </c>
      <c r="N215" s="1">
        <v>140.19999999999999</v>
      </c>
      <c r="O215" s="1">
        <v>137.80000000000001</v>
      </c>
      <c r="P215" s="1">
        <v>156</v>
      </c>
      <c r="Q215" s="1">
        <v>138.5</v>
      </c>
      <c r="R215" s="1">
        <v>162.4</v>
      </c>
      <c r="S215" s="1">
        <v>151.6</v>
      </c>
      <c r="T215" s="1">
        <v>145.9</v>
      </c>
      <c r="U215" s="1">
        <v>150.80000000000001</v>
      </c>
      <c r="V215" s="1" t="s">
        <v>38</v>
      </c>
      <c r="W215" s="1">
        <v>149</v>
      </c>
      <c r="X215" s="1">
        <v>149.5</v>
      </c>
      <c r="Y215" s="1">
        <v>149.6</v>
      </c>
      <c r="Z215" s="1">
        <v>128.9</v>
      </c>
      <c r="AA215" s="1">
        <v>143.30000000000001</v>
      </c>
      <c r="AB215" s="1">
        <v>155.1</v>
      </c>
      <c r="AC215" s="1">
        <v>133.19999999999999</v>
      </c>
      <c r="AD215" s="1">
        <v>141.6</v>
      </c>
      <c r="AE215" s="1">
        <v>141.9</v>
      </c>
      <c r="AF215" s="6">
        <f t="shared" si="12"/>
        <v>136.3923076923077</v>
      </c>
      <c r="AG215" s="6">
        <f t="shared" si="13"/>
        <v>149.10000000000002</v>
      </c>
      <c r="AH215" s="6">
        <f t="shared" si="14"/>
        <v>149.43333333333334</v>
      </c>
      <c r="AI215" s="6">
        <f t="shared" si="15"/>
        <v>145.625</v>
      </c>
      <c r="AJ215" s="6">
        <f>IFERROR(AVERAGE(Main[[#This Row],[Health]],Main[[#This Row],[Personal care and effects]]),"NA")</f>
        <v>141.39999999999998</v>
      </c>
    </row>
    <row r="216" spans="1:36" ht="13.2" x14ac:dyDescent="0.25">
      <c r="A216" s="1" t="s">
        <v>39</v>
      </c>
      <c r="B216" s="1">
        <v>2018</v>
      </c>
      <c r="C216" s="1" t="s">
        <v>51</v>
      </c>
      <c r="D216" s="8">
        <f>DATEVALUE(Main[[#This Row],[Month]]&amp;Main[[#This Row],[Year]])</f>
        <v>43435</v>
      </c>
      <c r="E216" s="1">
        <v>138.5</v>
      </c>
      <c r="F216" s="1">
        <v>147.80000000000001</v>
      </c>
      <c r="G216" s="1">
        <v>141.1</v>
      </c>
      <c r="H216" s="1">
        <v>141.6</v>
      </c>
      <c r="I216" s="1">
        <v>118.1</v>
      </c>
      <c r="J216" s="1">
        <v>138.5</v>
      </c>
      <c r="K216" s="1">
        <v>132.4</v>
      </c>
      <c r="L216" s="1">
        <v>117.5</v>
      </c>
      <c r="M216" s="1">
        <v>111</v>
      </c>
      <c r="N216" s="1">
        <v>141.5</v>
      </c>
      <c r="O216" s="1">
        <v>128.1</v>
      </c>
      <c r="P216" s="1">
        <v>152.9</v>
      </c>
      <c r="Q216" s="1">
        <v>137.6</v>
      </c>
      <c r="R216" s="1">
        <v>164.6</v>
      </c>
      <c r="S216" s="1">
        <v>142.69999999999999</v>
      </c>
      <c r="T216" s="1">
        <v>130.30000000000001</v>
      </c>
      <c r="U216" s="1">
        <v>140.80000000000001</v>
      </c>
      <c r="V216" s="1">
        <v>146.5</v>
      </c>
      <c r="W216" s="1">
        <v>132.4</v>
      </c>
      <c r="X216" s="1">
        <v>136.19999999999999</v>
      </c>
      <c r="Y216" s="1">
        <v>137.30000000000001</v>
      </c>
      <c r="Z216" s="1">
        <v>118.8</v>
      </c>
      <c r="AA216" s="1">
        <v>131.69999999999999</v>
      </c>
      <c r="AB216" s="1">
        <v>146.5</v>
      </c>
      <c r="AC216" s="1">
        <v>130.80000000000001</v>
      </c>
      <c r="AD216" s="1">
        <v>131.69999999999999</v>
      </c>
      <c r="AE216" s="1">
        <v>138</v>
      </c>
      <c r="AF216" s="6">
        <f t="shared" si="12"/>
        <v>134.35384615384615</v>
      </c>
      <c r="AG216" s="6">
        <f t="shared" si="13"/>
        <v>142.66666666666666</v>
      </c>
      <c r="AH216" s="6">
        <f t="shared" si="14"/>
        <v>137.93333333333334</v>
      </c>
      <c r="AI216" s="6">
        <f t="shared" si="15"/>
        <v>136.07999999999998</v>
      </c>
      <c r="AJ216" s="6">
        <f>IFERROR(AVERAGE(Main[[#This Row],[Health]],Main[[#This Row],[Personal care and effects]]),"NA")</f>
        <v>134.05000000000001</v>
      </c>
    </row>
    <row r="217" spans="1:36" ht="13.2" x14ac:dyDescent="0.25">
      <c r="A217" s="1" t="s">
        <v>40</v>
      </c>
      <c r="B217" s="1">
        <v>2018</v>
      </c>
      <c r="C217" s="1" t="s">
        <v>51</v>
      </c>
      <c r="D217" s="8">
        <f>DATEVALUE(Main[[#This Row],[Month]]&amp;Main[[#This Row],[Year]])</f>
        <v>43435</v>
      </c>
      <c r="E217" s="1">
        <v>137.5</v>
      </c>
      <c r="F217" s="1">
        <v>150.5</v>
      </c>
      <c r="G217" s="1">
        <v>138.80000000000001</v>
      </c>
      <c r="H217" s="1">
        <v>142.1</v>
      </c>
      <c r="I217" s="1">
        <v>122</v>
      </c>
      <c r="J217" s="1">
        <v>139.4</v>
      </c>
      <c r="K217" s="1">
        <v>135.19999999999999</v>
      </c>
      <c r="L217" s="1">
        <v>119.8</v>
      </c>
      <c r="M217" s="1">
        <v>110.3</v>
      </c>
      <c r="N217" s="1">
        <v>140.6</v>
      </c>
      <c r="O217" s="1">
        <v>133.80000000000001</v>
      </c>
      <c r="P217" s="1">
        <v>154.6</v>
      </c>
      <c r="Q217" s="1">
        <v>138.19999999999999</v>
      </c>
      <c r="R217" s="1">
        <v>163</v>
      </c>
      <c r="S217" s="1">
        <v>148.1</v>
      </c>
      <c r="T217" s="1">
        <v>139.4</v>
      </c>
      <c r="U217" s="1">
        <v>146.80000000000001</v>
      </c>
      <c r="V217" s="1">
        <v>146.5</v>
      </c>
      <c r="W217" s="1">
        <v>142.69999999999999</v>
      </c>
      <c r="X217" s="1">
        <v>143.19999999999999</v>
      </c>
      <c r="Y217" s="1">
        <v>144.9</v>
      </c>
      <c r="Z217" s="1">
        <v>123.6</v>
      </c>
      <c r="AA217" s="1">
        <v>136.80000000000001</v>
      </c>
      <c r="AB217" s="1">
        <v>150.1</v>
      </c>
      <c r="AC217" s="1">
        <v>132.19999999999999</v>
      </c>
      <c r="AD217" s="1">
        <v>136.80000000000001</v>
      </c>
      <c r="AE217" s="1">
        <v>140.1</v>
      </c>
      <c r="AF217" s="6">
        <f t="shared" si="12"/>
        <v>135.59999999999997</v>
      </c>
      <c r="AG217" s="6">
        <f t="shared" si="13"/>
        <v>145.53333333333333</v>
      </c>
      <c r="AH217" s="6">
        <f t="shared" si="14"/>
        <v>144.76666666666668</v>
      </c>
      <c r="AI217" s="6">
        <f t="shared" si="15"/>
        <v>141.22</v>
      </c>
      <c r="AJ217" s="6">
        <f>IFERROR(AVERAGE(Main[[#This Row],[Health]],Main[[#This Row],[Personal care and effects]]),"NA")</f>
        <v>138.55000000000001</v>
      </c>
    </row>
    <row r="218" spans="1:36" ht="13.2" x14ac:dyDescent="0.25">
      <c r="A218" s="1" t="s">
        <v>36</v>
      </c>
      <c r="B218" s="1">
        <v>2019</v>
      </c>
      <c r="C218" s="1" t="s">
        <v>37</v>
      </c>
      <c r="D218" s="8">
        <f>DATEVALUE(Main[[#This Row],[Month]]&amp;Main[[#This Row],[Year]])</f>
        <v>43466</v>
      </c>
      <c r="E218" s="1">
        <v>136.6</v>
      </c>
      <c r="F218" s="1">
        <v>152.5</v>
      </c>
      <c r="G218" s="1">
        <v>138.19999999999999</v>
      </c>
      <c r="H218" s="1">
        <v>142.4</v>
      </c>
      <c r="I218" s="1">
        <v>123.9</v>
      </c>
      <c r="J218" s="1">
        <v>135.5</v>
      </c>
      <c r="K218" s="1">
        <v>131.69999999999999</v>
      </c>
      <c r="L218" s="1">
        <v>121.3</v>
      </c>
      <c r="M218" s="1">
        <v>108.4</v>
      </c>
      <c r="N218" s="1">
        <v>138.9</v>
      </c>
      <c r="O218" s="1">
        <v>137</v>
      </c>
      <c r="P218" s="1">
        <v>155.80000000000001</v>
      </c>
      <c r="Q218" s="1">
        <v>137.4</v>
      </c>
      <c r="R218" s="1">
        <v>162.69999999999999</v>
      </c>
      <c r="S218" s="1">
        <v>150.6</v>
      </c>
      <c r="T218" s="1">
        <v>145.1</v>
      </c>
      <c r="U218" s="1">
        <v>149.9</v>
      </c>
      <c r="V218" s="1" t="s">
        <v>38</v>
      </c>
      <c r="W218" s="1">
        <v>146.19999999999999</v>
      </c>
      <c r="X218" s="1">
        <v>150.1</v>
      </c>
      <c r="Y218" s="1">
        <v>149.6</v>
      </c>
      <c r="Z218" s="1">
        <v>128.6</v>
      </c>
      <c r="AA218" s="1">
        <v>142.9</v>
      </c>
      <c r="AB218" s="1">
        <v>155.19999999999999</v>
      </c>
      <c r="AC218" s="1">
        <v>133.5</v>
      </c>
      <c r="AD218" s="1">
        <v>141.69999999999999</v>
      </c>
      <c r="AE218" s="1">
        <v>141</v>
      </c>
      <c r="AF218" s="6">
        <f t="shared" si="12"/>
        <v>135.35384615384618</v>
      </c>
      <c r="AG218" s="6">
        <f t="shared" si="13"/>
        <v>149.1</v>
      </c>
      <c r="AH218" s="6">
        <f t="shared" si="14"/>
        <v>148.53333333333333</v>
      </c>
      <c r="AI218" s="6">
        <f t="shared" si="15"/>
        <v>145.02499999999998</v>
      </c>
      <c r="AJ218" s="6">
        <f>IFERROR(AVERAGE(Main[[#This Row],[Health]],Main[[#This Row],[Personal care and effects]]),"NA")</f>
        <v>141.55000000000001</v>
      </c>
    </row>
    <row r="219" spans="1:36" ht="13.2" x14ac:dyDescent="0.25">
      <c r="A219" s="1" t="s">
        <v>39</v>
      </c>
      <c r="B219" s="1">
        <v>2019</v>
      </c>
      <c r="C219" s="1" t="s">
        <v>37</v>
      </c>
      <c r="D219" s="8">
        <f>DATEVALUE(Main[[#This Row],[Month]]&amp;Main[[#This Row],[Year]])</f>
        <v>43466</v>
      </c>
      <c r="E219" s="1">
        <v>138.30000000000001</v>
      </c>
      <c r="F219" s="1">
        <v>149.4</v>
      </c>
      <c r="G219" s="1">
        <v>143.5</v>
      </c>
      <c r="H219" s="1">
        <v>141.69999999999999</v>
      </c>
      <c r="I219" s="1">
        <v>118.1</v>
      </c>
      <c r="J219" s="1">
        <v>135.19999999999999</v>
      </c>
      <c r="K219" s="1">
        <v>130.5</v>
      </c>
      <c r="L219" s="1">
        <v>118.2</v>
      </c>
      <c r="M219" s="1">
        <v>110.4</v>
      </c>
      <c r="N219" s="1">
        <v>140.4</v>
      </c>
      <c r="O219" s="1">
        <v>128.1</v>
      </c>
      <c r="P219" s="1">
        <v>153.19999999999999</v>
      </c>
      <c r="Q219" s="1">
        <v>137.30000000000001</v>
      </c>
      <c r="R219" s="1">
        <v>164.7</v>
      </c>
      <c r="S219" s="1">
        <v>143</v>
      </c>
      <c r="T219" s="1">
        <v>130.4</v>
      </c>
      <c r="U219" s="1">
        <v>141.1</v>
      </c>
      <c r="V219" s="1">
        <v>147.69999999999999</v>
      </c>
      <c r="W219" s="1">
        <v>128.6</v>
      </c>
      <c r="X219" s="1">
        <v>136.30000000000001</v>
      </c>
      <c r="Y219" s="1">
        <v>137.80000000000001</v>
      </c>
      <c r="Z219" s="1">
        <v>118.6</v>
      </c>
      <c r="AA219" s="1">
        <v>131.9</v>
      </c>
      <c r="AB219" s="1">
        <v>146.6</v>
      </c>
      <c r="AC219" s="1">
        <v>131.69999999999999</v>
      </c>
      <c r="AD219" s="1">
        <v>131.80000000000001</v>
      </c>
      <c r="AE219" s="1">
        <v>138</v>
      </c>
      <c r="AF219" s="6">
        <f t="shared" si="12"/>
        <v>134.17692307692309</v>
      </c>
      <c r="AG219" s="6">
        <f t="shared" si="13"/>
        <v>142.80000000000001</v>
      </c>
      <c r="AH219" s="6">
        <f t="shared" si="14"/>
        <v>138.16666666666666</v>
      </c>
      <c r="AI219" s="6">
        <f t="shared" si="15"/>
        <v>135.56</v>
      </c>
      <c r="AJ219" s="6">
        <f>IFERROR(AVERAGE(Main[[#This Row],[Health]],Main[[#This Row],[Personal care and effects]]),"NA")</f>
        <v>134.75</v>
      </c>
    </row>
    <row r="220" spans="1:36" ht="13.2" x14ac:dyDescent="0.25">
      <c r="A220" s="1" t="s">
        <v>40</v>
      </c>
      <c r="B220" s="1">
        <v>2019</v>
      </c>
      <c r="C220" s="1" t="s">
        <v>37</v>
      </c>
      <c r="D220" s="8">
        <f>DATEVALUE(Main[[#This Row],[Month]]&amp;Main[[#This Row],[Year]])</f>
        <v>43466</v>
      </c>
      <c r="E220" s="1">
        <v>137.1</v>
      </c>
      <c r="F220" s="1">
        <v>151.4</v>
      </c>
      <c r="G220" s="1">
        <v>140.19999999999999</v>
      </c>
      <c r="H220" s="1">
        <v>142.1</v>
      </c>
      <c r="I220" s="1">
        <v>121.8</v>
      </c>
      <c r="J220" s="1">
        <v>135.4</v>
      </c>
      <c r="K220" s="1">
        <v>131.30000000000001</v>
      </c>
      <c r="L220" s="1">
        <v>120.3</v>
      </c>
      <c r="M220" s="1">
        <v>109.1</v>
      </c>
      <c r="N220" s="1">
        <v>139.4</v>
      </c>
      <c r="O220" s="1">
        <v>133.30000000000001</v>
      </c>
      <c r="P220" s="1">
        <v>154.6</v>
      </c>
      <c r="Q220" s="1">
        <v>137.4</v>
      </c>
      <c r="R220" s="1">
        <v>163.19999999999999</v>
      </c>
      <c r="S220" s="1">
        <v>147.6</v>
      </c>
      <c r="T220" s="1">
        <v>139</v>
      </c>
      <c r="U220" s="1">
        <v>146.4</v>
      </c>
      <c r="V220" s="1">
        <v>147.69999999999999</v>
      </c>
      <c r="W220" s="1">
        <v>139.5</v>
      </c>
      <c r="X220" s="1">
        <v>143.6</v>
      </c>
      <c r="Y220" s="1">
        <v>145.1</v>
      </c>
      <c r="Z220" s="1">
        <v>123.3</v>
      </c>
      <c r="AA220" s="1">
        <v>136.69999999999999</v>
      </c>
      <c r="AB220" s="1">
        <v>150.19999999999999</v>
      </c>
      <c r="AC220" s="1">
        <v>132.80000000000001</v>
      </c>
      <c r="AD220" s="1">
        <v>136.9</v>
      </c>
      <c r="AE220" s="1">
        <v>139.6</v>
      </c>
      <c r="AF220" s="6">
        <f t="shared" si="12"/>
        <v>134.87692307692308</v>
      </c>
      <c r="AG220" s="6">
        <f t="shared" si="13"/>
        <v>145.6</v>
      </c>
      <c r="AH220" s="6">
        <f t="shared" si="14"/>
        <v>144.33333333333334</v>
      </c>
      <c r="AI220" s="6">
        <f t="shared" si="15"/>
        <v>140.85999999999999</v>
      </c>
      <c r="AJ220" s="6">
        <f>IFERROR(AVERAGE(Main[[#This Row],[Health]],Main[[#This Row],[Personal care and effects]]),"NA")</f>
        <v>138.94999999999999</v>
      </c>
    </row>
    <row r="221" spans="1:36" ht="13.2" x14ac:dyDescent="0.25">
      <c r="A221" s="1" t="s">
        <v>36</v>
      </c>
      <c r="B221" s="1">
        <v>2019</v>
      </c>
      <c r="C221" s="1" t="s">
        <v>41</v>
      </c>
      <c r="D221" s="8">
        <f>DATEVALUE(Main[[#This Row],[Month]]&amp;Main[[#This Row],[Year]])</f>
        <v>43497</v>
      </c>
      <c r="E221" s="1">
        <v>136.80000000000001</v>
      </c>
      <c r="F221" s="1">
        <v>153</v>
      </c>
      <c r="G221" s="1">
        <v>139.1</v>
      </c>
      <c r="H221" s="1">
        <v>142.5</v>
      </c>
      <c r="I221" s="1">
        <v>124.1</v>
      </c>
      <c r="J221" s="1">
        <v>135.80000000000001</v>
      </c>
      <c r="K221" s="1">
        <v>128.69999999999999</v>
      </c>
      <c r="L221" s="1">
        <v>121.5</v>
      </c>
      <c r="M221" s="1">
        <v>108.3</v>
      </c>
      <c r="N221" s="1">
        <v>139.19999999999999</v>
      </c>
      <c r="O221" s="1">
        <v>137.4</v>
      </c>
      <c r="P221" s="1">
        <v>156.19999999999999</v>
      </c>
      <c r="Q221" s="1">
        <v>137.19999999999999</v>
      </c>
      <c r="R221" s="1">
        <v>162.80000000000001</v>
      </c>
      <c r="S221" s="1">
        <v>150.5</v>
      </c>
      <c r="T221" s="1">
        <v>146.1</v>
      </c>
      <c r="U221" s="1">
        <v>149.9</v>
      </c>
      <c r="V221" s="1" t="s">
        <v>38</v>
      </c>
      <c r="W221" s="1">
        <v>145.30000000000001</v>
      </c>
      <c r="X221" s="1">
        <v>150.1</v>
      </c>
      <c r="Y221" s="1">
        <v>149.9</v>
      </c>
      <c r="Z221" s="1">
        <v>129.19999999999999</v>
      </c>
      <c r="AA221" s="1">
        <v>143.4</v>
      </c>
      <c r="AB221" s="1">
        <v>155.5</v>
      </c>
      <c r="AC221" s="1">
        <v>134.9</v>
      </c>
      <c r="AD221" s="1">
        <v>142.19999999999999</v>
      </c>
      <c r="AE221" s="1">
        <v>141</v>
      </c>
      <c r="AF221" s="6">
        <f t="shared" si="12"/>
        <v>135.3692307692308</v>
      </c>
      <c r="AG221" s="6">
        <f t="shared" si="13"/>
        <v>149.46666666666667</v>
      </c>
      <c r="AH221" s="6">
        <f t="shared" si="14"/>
        <v>148.83333333333334</v>
      </c>
      <c r="AI221" s="6">
        <f t="shared" si="15"/>
        <v>145.02499999999998</v>
      </c>
      <c r="AJ221" s="6">
        <f>IFERROR(AVERAGE(Main[[#This Row],[Health]],Main[[#This Row],[Personal care and effects]]),"NA")</f>
        <v>142.4</v>
      </c>
    </row>
    <row r="222" spans="1:36" ht="13.2" x14ac:dyDescent="0.25">
      <c r="A222" s="1" t="s">
        <v>39</v>
      </c>
      <c r="B222" s="1">
        <v>2019</v>
      </c>
      <c r="C222" s="1" t="s">
        <v>41</v>
      </c>
      <c r="D222" s="8">
        <f>DATEVALUE(Main[[#This Row],[Month]]&amp;Main[[#This Row],[Year]])</f>
        <v>43497</v>
      </c>
      <c r="E222" s="1">
        <v>139.4</v>
      </c>
      <c r="F222" s="1">
        <v>150.1</v>
      </c>
      <c r="G222" s="1">
        <v>145.30000000000001</v>
      </c>
      <c r="H222" s="1">
        <v>141.69999999999999</v>
      </c>
      <c r="I222" s="1">
        <v>118.4</v>
      </c>
      <c r="J222" s="1">
        <v>137</v>
      </c>
      <c r="K222" s="1">
        <v>131.6</v>
      </c>
      <c r="L222" s="1">
        <v>119.9</v>
      </c>
      <c r="M222" s="1">
        <v>110.4</v>
      </c>
      <c r="N222" s="1">
        <v>140.80000000000001</v>
      </c>
      <c r="O222" s="1">
        <v>128.30000000000001</v>
      </c>
      <c r="P222" s="1">
        <v>153.5</v>
      </c>
      <c r="Q222" s="1">
        <v>138</v>
      </c>
      <c r="R222" s="1">
        <v>164.9</v>
      </c>
      <c r="S222" s="1">
        <v>143.30000000000001</v>
      </c>
      <c r="T222" s="1">
        <v>130.80000000000001</v>
      </c>
      <c r="U222" s="1">
        <v>141.4</v>
      </c>
      <c r="V222" s="1">
        <v>148.5</v>
      </c>
      <c r="W222" s="1">
        <v>127.1</v>
      </c>
      <c r="X222" s="1">
        <v>136.6</v>
      </c>
      <c r="Y222" s="1">
        <v>138.5</v>
      </c>
      <c r="Z222" s="1">
        <v>119.2</v>
      </c>
      <c r="AA222" s="1">
        <v>132.19999999999999</v>
      </c>
      <c r="AB222" s="1">
        <v>146.6</v>
      </c>
      <c r="AC222" s="1">
        <v>133</v>
      </c>
      <c r="AD222" s="1">
        <v>132.4</v>
      </c>
      <c r="AE222" s="1">
        <v>138.6</v>
      </c>
      <c r="AF222" s="6">
        <f t="shared" si="12"/>
        <v>134.95384615384617</v>
      </c>
      <c r="AG222" s="6">
        <f t="shared" si="13"/>
        <v>143.16666666666666</v>
      </c>
      <c r="AH222" s="6">
        <f t="shared" si="14"/>
        <v>138.5</v>
      </c>
      <c r="AI222" s="6">
        <f t="shared" si="15"/>
        <v>135.60000000000002</v>
      </c>
      <c r="AJ222" s="6">
        <f>IFERROR(AVERAGE(Main[[#This Row],[Health]],Main[[#This Row],[Personal care and effects]]),"NA")</f>
        <v>135.75</v>
      </c>
    </row>
    <row r="223" spans="1:36" ht="13.2" x14ac:dyDescent="0.25">
      <c r="A223" s="1" t="s">
        <v>40</v>
      </c>
      <c r="B223" s="1">
        <v>2019</v>
      </c>
      <c r="C223" s="1" t="s">
        <v>41</v>
      </c>
      <c r="D223" s="8">
        <f>DATEVALUE(Main[[#This Row],[Month]]&amp;Main[[#This Row],[Year]])</f>
        <v>43497</v>
      </c>
      <c r="E223" s="1">
        <v>137.6</v>
      </c>
      <c r="F223" s="1">
        <v>152</v>
      </c>
      <c r="G223" s="1">
        <v>141.5</v>
      </c>
      <c r="H223" s="1">
        <v>142.19999999999999</v>
      </c>
      <c r="I223" s="1">
        <v>122</v>
      </c>
      <c r="J223" s="1">
        <v>136.4</v>
      </c>
      <c r="K223" s="1">
        <v>129.69999999999999</v>
      </c>
      <c r="L223" s="1">
        <v>121</v>
      </c>
      <c r="M223" s="1">
        <v>109</v>
      </c>
      <c r="N223" s="1">
        <v>139.69999999999999</v>
      </c>
      <c r="O223" s="1">
        <v>133.6</v>
      </c>
      <c r="P223" s="1">
        <v>154.9</v>
      </c>
      <c r="Q223" s="1">
        <v>137.5</v>
      </c>
      <c r="R223" s="1">
        <v>163.4</v>
      </c>
      <c r="S223" s="1">
        <v>147.69999999999999</v>
      </c>
      <c r="T223" s="1">
        <v>139.69999999999999</v>
      </c>
      <c r="U223" s="1">
        <v>146.5</v>
      </c>
      <c r="V223" s="1">
        <v>148.5</v>
      </c>
      <c r="W223" s="1">
        <v>138.4</v>
      </c>
      <c r="X223" s="1">
        <v>143.69999999999999</v>
      </c>
      <c r="Y223" s="1">
        <v>145.6</v>
      </c>
      <c r="Z223" s="1">
        <v>123.9</v>
      </c>
      <c r="AA223" s="1">
        <v>137.1</v>
      </c>
      <c r="AB223" s="1">
        <v>150.30000000000001</v>
      </c>
      <c r="AC223" s="1">
        <v>134.1</v>
      </c>
      <c r="AD223" s="1">
        <v>137.4</v>
      </c>
      <c r="AE223" s="1">
        <v>139.9</v>
      </c>
      <c r="AF223" s="6">
        <f t="shared" si="12"/>
        <v>135.16153846153844</v>
      </c>
      <c r="AG223" s="6">
        <f t="shared" si="13"/>
        <v>145.96666666666667</v>
      </c>
      <c r="AH223" s="6">
        <f t="shared" si="14"/>
        <v>144.63333333333333</v>
      </c>
      <c r="AI223" s="6">
        <f t="shared" si="15"/>
        <v>140.95999999999998</v>
      </c>
      <c r="AJ223" s="6">
        <f>IFERROR(AVERAGE(Main[[#This Row],[Health]],Main[[#This Row],[Personal care and effects]]),"NA")</f>
        <v>139.85</v>
      </c>
    </row>
    <row r="224" spans="1:36" ht="13.2" x14ac:dyDescent="0.25">
      <c r="A224" s="1" t="s">
        <v>36</v>
      </c>
      <c r="B224" s="1">
        <v>2019</v>
      </c>
      <c r="C224" s="1" t="s">
        <v>42</v>
      </c>
      <c r="D224" s="8">
        <f>DATEVALUE(Main[[#This Row],[Month]]&amp;Main[[#This Row],[Year]])</f>
        <v>43525</v>
      </c>
      <c r="E224" s="1">
        <v>136.9</v>
      </c>
      <c r="F224" s="1">
        <v>154.1</v>
      </c>
      <c r="G224" s="1">
        <v>138.69999999999999</v>
      </c>
      <c r="H224" s="1">
        <v>142.5</v>
      </c>
      <c r="I224" s="1">
        <v>124.1</v>
      </c>
      <c r="J224" s="1">
        <v>136.1</v>
      </c>
      <c r="K224" s="1">
        <v>128.19999999999999</v>
      </c>
      <c r="L224" s="1">
        <v>122.3</v>
      </c>
      <c r="M224" s="1">
        <v>108.3</v>
      </c>
      <c r="N224" s="1">
        <v>138.9</v>
      </c>
      <c r="O224" s="1">
        <v>137.4</v>
      </c>
      <c r="P224" s="1">
        <v>156.4</v>
      </c>
      <c r="Q224" s="1">
        <v>137.30000000000001</v>
      </c>
      <c r="R224" s="1">
        <v>162.9</v>
      </c>
      <c r="S224" s="1">
        <v>150.80000000000001</v>
      </c>
      <c r="T224" s="1">
        <v>146.1</v>
      </c>
      <c r="U224" s="1">
        <v>150.1</v>
      </c>
      <c r="V224" s="1" t="s">
        <v>38</v>
      </c>
      <c r="W224" s="1">
        <v>146.4</v>
      </c>
      <c r="X224" s="1">
        <v>150</v>
      </c>
      <c r="Y224" s="1">
        <v>150.4</v>
      </c>
      <c r="Z224" s="1">
        <v>129.9</v>
      </c>
      <c r="AA224" s="1">
        <v>143.80000000000001</v>
      </c>
      <c r="AB224" s="1">
        <v>155.5</v>
      </c>
      <c r="AC224" s="1">
        <v>134</v>
      </c>
      <c r="AD224" s="1">
        <v>142.4</v>
      </c>
      <c r="AE224" s="1">
        <v>141.19999999999999</v>
      </c>
      <c r="AF224" s="6">
        <f t="shared" si="12"/>
        <v>135.4769230769231</v>
      </c>
      <c r="AG224" s="6">
        <f t="shared" si="13"/>
        <v>149.70000000000002</v>
      </c>
      <c r="AH224" s="6">
        <f t="shared" si="14"/>
        <v>149</v>
      </c>
      <c r="AI224" s="6">
        <f t="shared" si="15"/>
        <v>145.44999999999999</v>
      </c>
      <c r="AJ224" s="6">
        <f>IFERROR(AVERAGE(Main[[#This Row],[Health]],Main[[#This Row],[Personal care and effects]]),"NA")</f>
        <v>142.19999999999999</v>
      </c>
    </row>
    <row r="225" spans="1:36" ht="13.2" x14ac:dyDescent="0.25">
      <c r="A225" s="1" t="s">
        <v>39</v>
      </c>
      <c r="B225" s="1">
        <v>2019</v>
      </c>
      <c r="C225" s="1" t="s">
        <v>42</v>
      </c>
      <c r="D225" s="8">
        <f>DATEVALUE(Main[[#This Row],[Month]]&amp;Main[[#This Row],[Year]])</f>
        <v>43525</v>
      </c>
      <c r="E225" s="1">
        <v>139.69999999999999</v>
      </c>
      <c r="F225" s="1">
        <v>151.1</v>
      </c>
      <c r="G225" s="1">
        <v>142.9</v>
      </c>
      <c r="H225" s="1">
        <v>141.9</v>
      </c>
      <c r="I225" s="1">
        <v>118.4</v>
      </c>
      <c r="J225" s="1">
        <v>139.4</v>
      </c>
      <c r="K225" s="1">
        <v>141.19999999999999</v>
      </c>
      <c r="L225" s="1">
        <v>120.7</v>
      </c>
      <c r="M225" s="1">
        <v>110.4</v>
      </c>
      <c r="N225" s="1">
        <v>140.69999999999999</v>
      </c>
      <c r="O225" s="1">
        <v>128.5</v>
      </c>
      <c r="P225" s="1">
        <v>153.9</v>
      </c>
      <c r="Q225" s="1">
        <v>139.6</v>
      </c>
      <c r="R225" s="1">
        <v>165.3</v>
      </c>
      <c r="S225" s="1">
        <v>143.5</v>
      </c>
      <c r="T225" s="1">
        <v>131.19999999999999</v>
      </c>
      <c r="U225" s="1">
        <v>141.6</v>
      </c>
      <c r="V225" s="1">
        <v>149</v>
      </c>
      <c r="W225" s="1">
        <v>128.80000000000001</v>
      </c>
      <c r="X225" s="1">
        <v>136.80000000000001</v>
      </c>
      <c r="Y225" s="1">
        <v>139.19999999999999</v>
      </c>
      <c r="Z225" s="1">
        <v>119.9</v>
      </c>
      <c r="AA225" s="1">
        <v>133</v>
      </c>
      <c r="AB225" s="1">
        <v>146.69999999999999</v>
      </c>
      <c r="AC225" s="1">
        <v>132.5</v>
      </c>
      <c r="AD225" s="1">
        <v>132.80000000000001</v>
      </c>
      <c r="AE225" s="1">
        <v>139.5</v>
      </c>
      <c r="AF225" s="6">
        <f t="shared" si="12"/>
        <v>136.03076923076924</v>
      </c>
      <c r="AG225" s="6">
        <f t="shared" si="13"/>
        <v>143.70000000000002</v>
      </c>
      <c r="AH225" s="6">
        <f t="shared" si="14"/>
        <v>138.76666666666665</v>
      </c>
      <c r="AI225" s="6">
        <f t="shared" si="15"/>
        <v>136.24</v>
      </c>
      <c r="AJ225" s="6">
        <f>IFERROR(AVERAGE(Main[[#This Row],[Health]],Main[[#This Row],[Personal care and effects]]),"NA")</f>
        <v>135.85</v>
      </c>
    </row>
    <row r="226" spans="1:36" ht="13.2" x14ac:dyDescent="0.25">
      <c r="A226" s="1" t="s">
        <v>40</v>
      </c>
      <c r="B226" s="1">
        <v>2019</v>
      </c>
      <c r="C226" s="1" t="s">
        <v>42</v>
      </c>
      <c r="D226" s="8">
        <f>DATEVALUE(Main[[#This Row],[Month]]&amp;Main[[#This Row],[Year]])</f>
        <v>43525</v>
      </c>
      <c r="E226" s="1">
        <v>137.80000000000001</v>
      </c>
      <c r="F226" s="1">
        <v>153</v>
      </c>
      <c r="G226" s="1">
        <v>140.30000000000001</v>
      </c>
      <c r="H226" s="1">
        <v>142.30000000000001</v>
      </c>
      <c r="I226" s="1">
        <v>122</v>
      </c>
      <c r="J226" s="1">
        <v>137.6</v>
      </c>
      <c r="K226" s="1">
        <v>132.6</v>
      </c>
      <c r="L226" s="1">
        <v>121.8</v>
      </c>
      <c r="M226" s="1">
        <v>109</v>
      </c>
      <c r="N226" s="1">
        <v>139.5</v>
      </c>
      <c r="O226" s="1">
        <v>133.69999999999999</v>
      </c>
      <c r="P226" s="1">
        <v>155.19999999999999</v>
      </c>
      <c r="Q226" s="1">
        <v>138.1</v>
      </c>
      <c r="R226" s="1">
        <v>163.5</v>
      </c>
      <c r="S226" s="1">
        <v>147.9</v>
      </c>
      <c r="T226" s="1">
        <v>139.9</v>
      </c>
      <c r="U226" s="1">
        <v>146.69999999999999</v>
      </c>
      <c r="V226" s="1">
        <v>149</v>
      </c>
      <c r="W226" s="1">
        <v>139.69999999999999</v>
      </c>
      <c r="X226" s="1">
        <v>143.80000000000001</v>
      </c>
      <c r="Y226" s="1">
        <v>146.19999999999999</v>
      </c>
      <c r="Z226" s="1">
        <v>124.6</v>
      </c>
      <c r="AA226" s="1">
        <v>137.69999999999999</v>
      </c>
      <c r="AB226" s="1">
        <v>150.30000000000001</v>
      </c>
      <c r="AC226" s="1">
        <v>133.4</v>
      </c>
      <c r="AD226" s="1">
        <v>137.69999999999999</v>
      </c>
      <c r="AE226" s="1">
        <v>140.4</v>
      </c>
      <c r="AF226" s="6">
        <f t="shared" si="12"/>
        <v>135.6076923076923</v>
      </c>
      <c r="AG226" s="6">
        <f t="shared" si="13"/>
        <v>146.29999999999998</v>
      </c>
      <c r="AH226" s="6">
        <f t="shared" si="14"/>
        <v>144.83333333333334</v>
      </c>
      <c r="AI226" s="6">
        <f t="shared" si="15"/>
        <v>141.48000000000002</v>
      </c>
      <c r="AJ226" s="6">
        <f>IFERROR(AVERAGE(Main[[#This Row],[Health]],Main[[#This Row],[Personal care and effects]]),"NA")</f>
        <v>139.80000000000001</v>
      </c>
    </row>
    <row r="227" spans="1:36" ht="13.2" x14ac:dyDescent="0.25">
      <c r="A227" s="1" t="s">
        <v>36</v>
      </c>
      <c r="B227" s="1">
        <v>2019</v>
      </c>
      <c r="C227" s="1" t="s">
        <v>44</v>
      </c>
      <c r="D227" s="8">
        <f>DATEVALUE(Main[[#This Row],[Month]]&amp;Main[[#This Row],[Year]])</f>
        <v>43586</v>
      </c>
      <c r="E227" s="1">
        <v>137.4</v>
      </c>
      <c r="F227" s="1">
        <v>159.5</v>
      </c>
      <c r="G227" s="1">
        <v>134.5</v>
      </c>
      <c r="H227" s="1">
        <v>142.6</v>
      </c>
      <c r="I227" s="1">
        <v>124</v>
      </c>
      <c r="J227" s="1">
        <v>143.69999999999999</v>
      </c>
      <c r="K227" s="1">
        <v>133.4</v>
      </c>
      <c r="L227" s="1">
        <v>125.1</v>
      </c>
      <c r="M227" s="1">
        <v>109.3</v>
      </c>
      <c r="N227" s="1">
        <v>139.30000000000001</v>
      </c>
      <c r="O227" s="1">
        <v>137.69999999999999</v>
      </c>
      <c r="P227" s="1">
        <v>156.4</v>
      </c>
      <c r="Q227" s="1">
        <v>139.19999999999999</v>
      </c>
      <c r="R227" s="1">
        <v>163.30000000000001</v>
      </c>
      <c r="S227" s="1">
        <v>151.30000000000001</v>
      </c>
      <c r="T227" s="1">
        <v>146.6</v>
      </c>
      <c r="U227" s="1">
        <v>150.69999999999999</v>
      </c>
      <c r="V227" s="1" t="s">
        <v>38</v>
      </c>
      <c r="W227" s="1">
        <v>146.9</v>
      </c>
      <c r="X227" s="1">
        <v>149.5</v>
      </c>
      <c r="Y227" s="1">
        <v>151.30000000000001</v>
      </c>
      <c r="Z227" s="1">
        <v>130.19999999999999</v>
      </c>
      <c r="AA227" s="1">
        <v>145.9</v>
      </c>
      <c r="AB227" s="1">
        <v>156.69999999999999</v>
      </c>
      <c r="AC227" s="1">
        <v>133.9</v>
      </c>
      <c r="AD227" s="1">
        <v>142.9</v>
      </c>
      <c r="AE227" s="1">
        <v>142.4</v>
      </c>
      <c r="AF227" s="6">
        <f t="shared" si="12"/>
        <v>137.0846153846154</v>
      </c>
      <c r="AG227" s="6">
        <f t="shared" si="13"/>
        <v>150.70000000000002</v>
      </c>
      <c r="AH227" s="6">
        <f t="shared" si="14"/>
        <v>149.53333333333333</v>
      </c>
      <c r="AI227" s="6">
        <f t="shared" si="15"/>
        <v>145.82499999999999</v>
      </c>
      <c r="AJ227" s="6">
        <f>IFERROR(AVERAGE(Main[[#This Row],[Health]],Main[[#This Row],[Personal care and effects]]),"NA")</f>
        <v>142.60000000000002</v>
      </c>
    </row>
    <row r="228" spans="1:36" ht="13.2" x14ac:dyDescent="0.25">
      <c r="A228" s="1" t="s">
        <v>39</v>
      </c>
      <c r="B228" s="1">
        <v>2019</v>
      </c>
      <c r="C228" s="1" t="s">
        <v>44</v>
      </c>
      <c r="D228" s="8">
        <f>DATEVALUE(Main[[#This Row],[Month]]&amp;Main[[#This Row],[Year]])</f>
        <v>43586</v>
      </c>
      <c r="E228" s="1">
        <v>140.4</v>
      </c>
      <c r="F228" s="1">
        <v>156.69999999999999</v>
      </c>
      <c r="G228" s="1">
        <v>138.30000000000001</v>
      </c>
      <c r="H228" s="1">
        <v>142.4</v>
      </c>
      <c r="I228" s="1">
        <v>118.6</v>
      </c>
      <c r="J228" s="1">
        <v>149.69999999999999</v>
      </c>
      <c r="K228" s="1">
        <v>161.6</v>
      </c>
      <c r="L228" s="1">
        <v>124.4</v>
      </c>
      <c r="M228" s="1">
        <v>111.2</v>
      </c>
      <c r="N228" s="1">
        <v>141</v>
      </c>
      <c r="O228" s="1">
        <v>128.9</v>
      </c>
      <c r="P228" s="1">
        <v>154.5</v>
      </c>
      <c r="Q228" s="1">
        <v>143.80000000000001</v>
      </c>
      <c r="R228" s="1">
        <v>166.2</v>
      </c>
      <c r="S228" s="1">
        <v>144</v>
      </c>
      <c r="T228" s="1">
        <v>131.69999999999999</v>
      </c>
      <c r="U228" s="1">
        <v>142.19999999999999</v>
      </c>
      <c r="V228" s="1">
        <v>150.1</v>
      </c>
      <c r="W228" s="1">
        <v>129.4</v>
      </c>
      <c r="X228" s="1">
        <v>137.19999999999999</v>
      </c>
      <c r="Y228" s="1">
        <v>139.80000000000001</v>
      </c>
      <c r="Z228" s="1">
        <v>120.1</v>
      </c>
      <c r="AA228" s="1">
        <v>134</v>
      </c>
      <c r="AB228" s="1">
        <v>148</v>
      </c>
      <c r="AC228" s="1">
        <v>132.6</v>
      </c>
      <c r="AD228" s="1">
        <v>133.30000000000001</v>
      </c>
      <c r="AE228" s="1">
        <v>141.5</v>
      </c>
      <c r="AF228" s="6">
        <f t="shared" si="12"/>
        <v>139.34615384615387</v>
      </c>
      <c r="AG228" s="6">
        <f t="shared" si="13"/>
        <v>144.5</v>
      </c>
      <c r="AH228" s="6">
        <f t="shared" si="14"/>
        <v>139.29999999999998</v>
      </c>
      <c r="AI228" s="6">
        <f t="shared" si="15"/>
        <v>136.95999999999998</v>
      </c>
      <c r="AJ228" s="6">
        <f>IFERROR(AVERAGE(Main[[#This Row],[Health]],Main[[#This Row],[Personal care and effects]]),"NA")</f>
        <v>136.19999999999999</v>
      </c>
    </row>
    <row r="229" spans="1:36" ht="13.2" x14ac:dyDescent="0.25">
      <c r="A229" s="1" t="s">
        <v>40</v>
      </c>
      <c r="B229" s="1">
        <v>2019</v>
      </c>
      <c r="C229" s="1" t="s">
        <v>44</v>
      </c>
      <c r="D229" s="8">
        <f>DATEVALUE(Main[[#This Row],[Month]]&amp;Main[[#This Row],[Year]])</f>
        <v>43586</v>
      </c>
      <c r="E229" s="1">
        <v>138.30000000000001</v>
      </c>
      <c r="F229" s="1">
        <v>158.5</v>
      </c>
      <c r="G229" s="1">
        <v>136</v>
      </c>
      <c r="H229" s="1">
        <v>142.5</v>
      </c>
      <c r="I229" s="1">
        <v>122</v>
      </c>
      <c r="J229" s="1">
        <v>146.5</v>
      </c>
      <c r="K229" s="1">
        <v>143</v>
      </c>
      <c r="L229" s="1">
        <v>124.9</v>
      </c>
      <c r="M229" s="1">
        <v>109.9</v>
      </c>
      <c r="N229" s="1">
        <v>139.9</v>
      </c>
      <c r="O229" s="1">
        <v>134</v>
      </c>
      <c r="P229" s="1">
        <v>155.5</v>
      </c>
      <c r="Q229" s="1">
        <v>140.9</v>
      </c>
      <c r="R229" s="1">
        <v>164.1</v>
      </c>
      <c r="S229" s="1">
        <v>148.4</v>
      </c>
      <c r="T229" s="1">
        <v>140.4</v>
      </c>
      <c r="U229" s="1">
        <v>147.30000000000001</v>
      </c>
      <c r="V229" s="1">
        <v>150.1</v>
      </c>
      <c r="W229" s="1">
        <v>140.30000000000001</v>
      </c>
      <c r="X229" s="1">
        <v>143.69999999999999</v>
      </c>
      <c r="Y229" s="1">
        <v>146.9</v>
      </c>
      <c r="Z229" s="1">
        <v>124.9</v>
      </c>
      <c r="AA229" s="1">
        <v>139.19999999999999</v>
      </c>
      <c r="AB229" s="1">
        <v>151.6</v>
      </c>
      <c r="AC229" s="1">
        <v>133.4</v>
      </c>
      <c r="AD229" s="1">
        <v>138.19999999999999</v>
      </c>
      <c r="AE229" s="1">
        <v>142</v>
      </c>
      <c r="AF229" s="6">
        <f t="shared" si="12"/>
        <v>137.83846153846156</v>
      </c>
      <c r="AG229" s="6">
        <f t="shared" si="13"/>
        <v>147.16666666666666</v>
      </c>
      <c r="AH229" s="6">
        <f t="shared" si="14"/>
        <v>145.36666666666667</v>
      </c>
      <c r="AI229" s="6">
        <f t="shared" si="15"/>
        <v>142.12</v>
      </c>
      <c r="AJ229" s="6">
        <f>IFERROR(AVERAGE(Main[[#This Row],[Health]],Main[[#This Row],[Personal care and effects]]),"NA")</f>
        <v>140.15</v>
      </c>
    </row>
    <row r="230" spans="1:36" ht="13.2" x14ac:dyDescent="0.25">
      <c r="A230" s="1" t="s">
        <v>36</v>
      </c>
      <c r="B230" s="1">
        <v>2019</v>
      </c>
      <c r="C230" s="1" t="s">
        <v>45</v>
      </c>
      <c r="D230" s="8">
        <f>DATEVALUE(Main[[#This Row],[Month]]&amp;Main[[#This Row],[Year]])</f>
        <v>43617</v>
      </c>
      <c r="E230" s="1">
        <v>137.80000000000001</v>
      </c>
      <c r="F230" s="1">
        <v>163.5</v>
      </c>
      <c r="G230" s="1">
        <v>136.19999999999999</v>
      </c>
      <c r="H230" s="1">
        <v>143.19999999999999</v>
      </c>
      <c r="I230" s="1">
        <v>124.3</v>
      </c>
      <c r="J230" s="1">
        <v>143.30000000000001</v>
      </c>
      <c r="K230" s="1">
        <v>140.6</v>
      </c>
      <c r="L230" s="1">
        <v>128.69999999999999</v>
      </c>
      <c r="M230" s="1">
        <v>110.6</v>
      </c>
      <c r="N230" s="1">
        <v>140.4</v>
      </c>
      <c r="O230" s="1">
        <v>138</v>
      </c>
      <c r="P230" s="1">
        <v>156.6</v>
      </c>
      <c r="Q230" s="1">
        <v>141</v>
      </c>
      <c r="R230" s="1">
        <v>164.2</v>
      </c>
      <c r="S230" s="1">
        <v>151.4</v>
      </c>
      <c r="T230" s="1">
        <v>146.5</v>
      </c>
      <c r="U230" s="1">
        <v>150.69999999999999</v>
      </c>
      <c r="V230" s="1" t="s">
        <v>38</v>
      </c>
      <c r="W230" s="1">
        <v>147.80000000000001</v>
      </c>
      <c r="X230" s="1">
        <v>149.6</v>
      </c>
      <c r="Y230" s="1">
        <v>151.69999999999999</v>
      </c>
      <c r="Z230" s="1">
        <v>130.19999999999999</v>
      </c>
      <c r="AA230" s="1">
        <v>146.4</v>
      </c>
      <c r="AB230" s="1">
        <v>157.69999999999999</v>
      </c>
      <c r="AC230" s="1">
        <v>134.80000000000001</v>
      </c>
      <c r="AD230" s="1">
        <v>143.30000000000001</v>
      </c>
      <c r="AE230" s="1">
        <v>143.6</v>
      </c>
      <c r="AF230" s="6">
        <f t="shared" si="12"/>
        <v>138.78461538461536</v>
      </c>
      <c r="AG230" s="6">
        <f t="shared" si="13"/>
        <v>151.30000000000001</v>
      </c>
      <c r="AH230" s="6">
        <f t="shared" si="14"/>
        <v>149.53333333333333</v>
      </c>
      <c r="AI230" s="6">
        <f t="shared" si="15"/>
        <v>146.32499999999999</v>
      </c>
      <c r="AJ230" s="6">
        <f>IFERROR(AVERAGE(Main[[#This Row],[Health]],Main[[#This Row],[Personal care and effects]]),"NA")</f>
        <v>143.25</v>
      </c>
    </row>
    <row r="231" spans="1:36" ht="13.2" x14ac:dyDescent="0.25">
      <c r="A231" s="1" t="s">
        <v>39</v>
      </c>
      <c r="B231" s="1">
        <v>2019</v>
      </c>
      <c r="C231" s="1" t="s">
        <v>45</v>
      </c>
      <c r="D231" s="8">
        <f>DATEVALUE(Main[[#This Row],[Month]]&amp;Main[[#This Row],[Year]])</f>
        <v>43617</v>
      </c>
      <c r="E231" s="1">
        <v>140.69999999999999</v>
      </c>
      <c r="F231" s="1">
        <v>159.6</v>
      </c>
      <c r="G231" s="1">
        <v>140.4</v>
      </c>
      <c r="H231" s="1">
        <v>143.4</v>
      </c>
      <c r="I231" s="1">
        <v>118.6</v>
      </c>
      <c r="J231" s="1">
        <v>150.9</v>
      </c>
      <c r="K231" s="1">
        <v>169.8</v>
      </c>
      <c r="L231" s="1">
        <v>127.4</v>
      </c>
      <c r="M231" s="1">
        <v>111.8</v>
      </c>
      <c r="N231" s="1">
        <v>141</v>
      </c>
      <c r="O231" s="1">
        <v>129</v>
      </c>
      <c r="P231" s="1">
        <v>155.1</v>
      </c>
      <c r="Q231" s="1">
        <v>145.6</v>
      </c>
      <c r="R231" s="1">
        <v>166.7</v>
      </c>
      <c r="S231" s="1">
        <v>144.30000000000001</v>
      </c>
      <c r="T231" s="1">
        <v>131.69999999999999</v>
      </c>
      <c r="U231" s="1">
        <v>142.4</v>
      </c>
      <c r="V231" s="1">
        <v>149.4</v>
      </c>
      <c r="W231" s="1">
        <v>130.5</v>
      </c>
      <c r="X231" s="1">
        <v>137.4</v>
      </c>
      <c r="Y231" s="1">
        <v>140.30000000000001</v>
      </c>
      <c r="Z231" s="1">
        <v>119.6</v>
      </c>
      <c r="AA231" s="1">
        <v>134.30000000000001</v>
      </c>
      <c r="AB231" s="1">
        <v>148.9</v>
      </c>
      <c r="AC231" s="1">
        <v>133.69999999999999</v>
      </c>
      <c r="AD231" s="1">
        <v>133.6</v>
      </c>
      <c r="AE231" s="1">
        <v>142.1</v>
      </c>
      <c r="AF231" s="6">
        <f t="shared" si="12"/>
        <v>141.0230769230769</v>
      </c>
      <c r="AG231" s="6">
        <f t="shared" si="13"/>
        <v>144.86666666666667</v>
      </c>
      <c r="AH231" s="6">
        <f t="shared" si="14"/>
        <v>139.46666666666667</v>
      </c>
      <c r="AI231" s="6">
        <f t="shared" si="15"/>
        <v>137.16</v>
      </c>
      <c r="AJ231" s="6">
        <f>IFERROR(AVERAGE(Main[[#This Row],[Health]],Main[[#This Row],[Personal care and effects]]),"NA")</f>
        <v>137</v>
      </c>
    </row>
    <row r="232" spans="1:36" ht="13.2" x14ac:dyDescent="0.25">
      <c r="A232" s="1" t="s">
        <v>40</v>
      </c>
      <c r="B232" s="1">
        <v>2019</v>
      </c>
      <c r="C232" s="1" t="s">
        <v>45</v>
      </c>
      <c r="D232" s="8">
        <f>DATEVALUE(Main[[#This Row],[Month]]&amp;Main[[#This Row],[Year]])</f>
        <v>43617</v>
      </c>
      <c r="E232" s="1">
        <v>138.69999999999999</v>
      </c>
      <c r="F232" s="1">
        <v>162.1</v>
      </c>
      <c r="G232" s="1">
        <v>137.80000000000001</v>
      </c>
      <c r="H232" s="1">
        <v>143.30000000000001</v>
      </c>
      <c r="I232" s="1">
        <v>122.2</v>
      </c>
      <c r="J232" s="1">
        <v>146.80000000000001</v>
      </c>
      <c r="K232" s="1">
        <v>150.5</v>
      </c>
      <c r="L232" s="1">
        <v>128.30000000000001</v>
      </c>
      <c r="M232" s="1">
        <v>111</v>
      </c>
      <c r="N232" s="1">
        <v>140.6</v>
      </c>
      <c r="O232" s="1">
        <v>134.19999999999999</v>
      </c>
      <c r="P232" s="1">
        <v>155.9</v>
      </c>
      <c r="Q232" s="1">
        <v>142.69999999999999</v>
      </c>
      <c r="R232" s="1">
        <v>164.9</v>
      </c>
      <c r="S232" s="1">
        <v>148.6</v>
      </c>
      <c r="T232" s="1">
        <v>140.4</v>
      </c>
      <c r="U232" s="1">
        <v>147.4</v>
      </c>
      <c r="V232" s="1">
        <v>149.4</v>
      </c>
      <c r="W232" s="1">
        <v>141.19999999999999</v>
      </c>
      <c r="X232" s="1">
        <v>143.80000000000001</v>
      </c>
      <c r="Y232" s="1">
        <v>147.4</v>
      </c>
      <c r="Z232" s="1">
        <v>124.6</v>
      </c>
      <c r="AA232" s="1">
        <v>139.6</v>
      </c>
      <c r="AB232" s="1">
        <v>152.5</v>
      </c>
      <c r="AC232" s="1">
        <v>134.30000000000001</v>
      </c>
      <c r="AD232" s="1">
        <v>138.6</v>
      </c>
      <c r="AE232" s="1">
        <v>142.9</v>
      </c>
      <c r="AF232" s="6">
        <f t="shared" si="12"/>
        <v>139.54615384615386</v>
      </c>
      <c r="AG232" s="6">
        <f t="shared" si="13"/>
        <v>147.70000000000002</v>
      </c>
      <c r="AH232" s="6">
        <f t="shared" si="14"/>
        <v>145.46666666666667</v>
      </c>
      <c r="AI232" s="6">
        <f t="shared" si="15"/>
        <v>142.30000000000001</v>
      </c>
      <c r="AJ232" s="6">
        <f>IFERROR(AVERAGE(Main[[#This Row],[Health]],Main[[#This Row],[Personal care and effects]]),"NA")</f>
        <v>140.85000000000002</v>
      </c>
    </row>
    <row r="233" spans="1:36" ht="13.2" x14ac:dyDescent="0.25">
      <c r="A233" s="1" t="s">
        <v>36</v>
      </c>
      <c r="B233" s="1">
        <v>2019</v>
      </c>
      <c r="C233" s="1" t="s">
        <v>46</v>
      </c>
      <c r="D233" s="8">
        <f>DATEVALUE(Main[[#This Row],[Month]]&amp;Main[[#This Row],[Year]])</f>
        <v>43647</v>
      </c>
      <c r="E233" s="1">
        <v>138.4</v>
      </c>
      <c r="F233" s="1">
        <v>164</v>
      </c>
      <c r="G233" s="1">
        <v>138.4</v>
      </c>
      <c r="H233" s="1">
        <v>143.9</v>
      </c>
      <c r="I233" s="1">
        <v>124.4</v>
      </c>
      <c r="J233" s="1">
        <v>146.4</v>
      </c>
      <c r="K233" s="1">
        <v>150.1</v>
      </c>
      <c r="L233" s="1">
        <v>130.6</v>
      </c>
      <c r="M233" s="1">
        <v>110.8</v>
      </c>
      <c r="N233" s="1">
        <v>141.69999999999999</v>
      </c>
      <c r="O233" s="1">
        <v>138.5</v>
      </c>
      <c r="P233" s="1">
        <v>156.69999999999999</v>
      </c>
      <c r="Q233" s="1">
        <v>143</v>
      </c>
      <c r="R233" s="1">
        <v>164.5</v>
      </c>
      <c r="S233" s="1">
        <v>151.6</v>
      </c>
      <c r="T233" s="1">
        <v>146.6</v>
      </c>
      <c r="U233" s="1">
        <v>150.9</v>
      </c>
      <c r="V233" s="1" t="s">
        <v>38</v>
      </c>
      <c r="W233" s="1">
        <v>146.80000000000001</v>
      </c>
      <c r="X233" s="1">
        <v>150</v>
      </c>
      <c r="Y233" s="1">
        <v>152.19999999999999</v>
      </c>
      <c r="Z233" s="1">
        <v>131.19999999999999</v>
      </c>
      <c r="AA233" s="1">
        <v>147.5</v>
      </c>
      <c r="AB233" s="1">
        <v>159.1</v>
      </c>
      <c r="AC233" s="1">
        <v>136.1</v>
      </c>
      <c r="AD233" s="1">
        <v>144.19999999999999</v>
      </c>
      <c r="AE233" s="1">
        <v>144.9</v>
      </c>
      <c r="AF233" s="6">
        <f t="shared" si="12"/>
        <v>140.53076923076921</v>
      </c>
      <c r="AG233" s="6">
        <f t="shared" si="13"/>
        <v>152.06666666666666</v>
      </c>
      <c r="AH233" s="6">
        <f t="shared" si="14"/>
        <v>149.70000000000002</v>
      </c>
      <c r="AI233" s="6">
        <f t="shared" si="15"/>
        <v>146.77500000000001</v>
      </c>
      <c r="AJ233" s="6">
        <f>IFERROR(AVERAGE(Main[[#This Row],[Health]],Main[[#This Row],[Personal care and effects]]),"NA")</f>
        <v>144.14999999999998</v>
      </c>
    </row>
    <row r="234" spans="1:36" ht="13.2" x14ac:dyDescent="0.25">
      <c r="A234" s="1" t="s">
        <v>39</v>
      </c>
      <c r="B234" s="1">
        <v>2019</v>
      </c>
      <c r="C234" s="1" t="s">
        <v>46</v>
      </c>
      <c r="D234" s="8">
        <f>DATEVALUE(Main[[#This Row],[Month]]&amp;Main[[#This Row],[Year]])</f>
        <v>43647</v>
      </c>
      <c r="E234" s="1">
        <v>141.4</v>
      </c>
      <c r="F234" s="1">
        <v>160.19999999999999</v>
      </c>
      <c r="G234" s="1">
        <v>142.5</v>
      </c>
      <c r="H234" s="1">
        <v>144.1</v>
      </c>
      <c r="I234" s="1">
        <v>119.3</v>
      </c>
      <c r="J234" s="1">
        <v>154.69999999999999</v>
      </c>
      <c r="K234" s="1">
        <v>180.1</v>
      </c>
      <c r="L234" s="1">
        <v>128.9</v>
      </c>
      <c r="M234" s="1">
        <v>111.8</v>
      </c>
      <c r="N234" s="1">
        <v>141.6</v>
      </c>
      <c r="O234" s="1">
        <v>129.5</v>
      </c>
      <c r="P234" s="1">
        <v>155.6</v>
      </c>
      <c r="Q234" s="1">
        <v>147.69999999999999</v>
      </c>
      <c r="R234" s="1">
        <v>167.2</v>
      </c>
      <c r="S234" s="1">
        <v>144.69999999999999</v>
      </c>
      <c r="T234" s="1">
        <v>131.9</v>
      </c>
      <c r="U234" s="1">
        <v>142.69999999999999</v>
      </c>
      <c r="V234" s="1">
        <v>150.6</v>
      </c>
      <c r="W234" s="1">
        <v>127</v>
      </c>
      <c r="X234" s="1">
        <v>137.69999999999999</v>
      </c>
      <c r="Y234" s="1">
        <v>140.80000000000001</v>
      </c>
      <c r="Z234" s="1">
        <v>120.6</v>
      </c>
      <c r="AA234" s="1">
        <v>135</v>
      </c>
      <c r="AB234" s="1">
        <v>150.4</v>
      </c>
      <c r="AC234" s="1">
        <v>135.1</v>
      </c>
      <c r="AD234" s="1">
        <v>134.5</v>
      </c>
      <c r="AE234" s="1">
        <v>143.30000000000001</v>
      </c>
      <c r="AF234" s="6">
        <f t="shared" si="12"/>
        <v>142.87692307692308</v>
      </c>
      <c r="AG234" s="6">
        <f t="shared" si="13"/>
        <v>145.56666666666666</v>
      </c>
      <c r="AH234" s="6">
        <f t="shared" si="14"/>
        <v>139.76666666666668</v>
      </c>
      <c r="AI234" s="6">
        <f t="shared" si="15"/>
        <v>137.26</v>
      </c>
      <c r="AJ234" s="6">
        <f>IFERROR(AVERAGE(Main[[#This Row],[Health]],Main[[#This Row],[Personal care and effects]]),"NA")</f>
        <v>137.94999999999999</v>
      </c>
    </row>
    <row r="235" spans="1:36" ht="13.2" x14ac:dyDescent="0.25">
      <c r="A235" s="1" t="s">
        <v>40</v>
      </c>
      <c r="B235" s="1">
        <v>2019</v>
      </c>
      <c r="C235" s="1" t="s">
        <v>46</v>
      </c>
      <c r="D235" s="8">
        <f>DATEVALUE(Main[[#This Row],[Month]]&amp;Main[[#This Row],[Year]])</f>
        <v>43647</v>
      </c>
      <c r="E235" s="1">
        <v>139.30000000000001</v>
      </c>
      <c r="F235" s="1">
        <v>162.69999999999999</v>
      </c>
      <c r="G235" s="1">
        <v>140</v>
      </c>
      <c r="H235" s="1">
        <v>144</v>
      </c>
      <c r="I235" s="1">
        <v>122.5</v>
      </c>
      <c r="J235" s="1">
        <v>150.30000000000001</v>
      </c>
      <c r="K235" s="1">
        <v>160.30000000000001</v>
      </c>
      <c r="L235" s="1">
        <v>130</v>
      </c>
      <c r="M235" s="1">
        <v>111.1</v>
      </c>
      <c r="N235" s="1">
        <v>141.69999999999999</v>
      </c>
      <c r="O235" s="1">
        <v>134.69999999999999</v>
      </c>
      <c r="P235" s="1">
        <v>156.19999999999999</v>
      </c>
      <c r="Q235" s="1">
        <v>144.69999999999999</v>
      </c>
      <c r="R235" s="1">
        <v>165.2</v>
      </c>
      <c r="S235" s="1">
        <v>148.9</v>
      </c>
      <c r="T235" s="1">
        <v>140.5</v>
      </c>
      <c r="U235" s="1">
        <v>147.6</v>
      </c>
      <c r="V235" s="1">
        <v>150.6</v>
      </c>
      <c r="W235" s="1">
        <v>139.30000000000001</v>
      </c>
      <c r="X235" s="1">
        <v>144.19999999999999</v>
      </c>
      <c r="Y235" s="1">
        <v>147.9</v>
      </c>
      <c r="Z235" s="1">
        <v>125.6</v>
      </c>
      <c r="AA235" s="1">
        <v>140.5</v>
      </c>
      <c r="AB235" s="1">
        <v>154</v>
      </c>
      <c r="AC235" s="1">
        <v>135.69999999999999</v>
      </c>
      <c r="AD235" s="1">
        <v>139.5</v>
      </c>
      <c r="AE235" s="1">
        <v>144.19999999999999</v>
      </c>
      <c r="AF235" s="6">
        <f t="shared" si="12"/>
        <v>141.34615384615384</v>
      </c>
      <c r="AG235" s="6">
        <f t="shared" si="13"/>
        <v>148.4</v>
      </c>
      <c r="AH235" s="6">
        <f t="shared" si="14"/>
        <v>145.66666666666666</v>
      </c>
      <c r="AI235" s="6">
        <f t="shared" si="15"/>
        <v>142.73999999999998</v>
      </c>
      <c r="AJ235" s="6">
        <f>IFERROR(AVERAGE(Main[[#This Row],[Health]],Main[[#This Row],[Personal care and effects]]),"NA")</f>
        <v>141.80000000000001</v>
      </c>
    </row>
    <row r="236" spans="1:36" ht="13.2" x14ac:dyDescent="0.25">
      <c r="A236" s="1" t="s">
        <v>36</v>
      </c>
      <c r="B236" s="1">
        <v>2019</v>
      </c>
      <c r="C236" s="1" t="s">
        <v>47</v>
      </c>
      <c r="D236" s="8">
        <f>DATEVALUE(Main[[#This Row],[Month]]&amp;Main[[#This Row],[Year]])</f>
        <v>43678</v>
      </c>
      <c r="E236" s="1">
        <v>139.19999999999999</v>
      </c>
      <c r="F236" s="1">
        <v>161.9</v>
      </c>
      <c r="G236" s="1">
        <v>137.1</v>
      </c>
      <c r="H236" s="1">
        <v>144.6</v>
      </c>
      <c r="I236" s="1">
        <v>124.7</v>
      </c>
      <c r="J236" s="1">
        <v>145.5</v>
      </c>
      <c r="K236" s="1">
        <v>156.19999999999999</v>
      </c>
      <c r="L236" s="1">
        <v>131.5</v>
      </c>
      <c r="M236" s="1">
        <v>111.7</v>
      </c>
      <c r="N236" s="1">
        <v>142.69999999999999</v>
      </c>
      <c r="O236" s="1">
        <v>138.5</v>
      </c>
      <c r="P236" s="1">
        <v>156.9</v>
      </c>
      <c r="Q236" s="1">
        <v>144</v>
      </c>
      <c r="R236" s="1">
        <v>165.1</v>
      </c>
      <c r="S236" s="1">
        <v>151.80000000000001</v>
      </c>
      <c r="T236" s="1">
        <v>146.6</v>
      </c>
      <c r="U236" s="1">
        <v>151.1</v>
      </c>
      <c r="V236" s="1" t="s">
        <v>38</v>
      </c>
      <c r="W236" s="1">
        <v>146.4</v>
      </c>
      <c r="X236" s="1">
        <v>150.19999999999999</v>
      </c>
      <c r="Y236" s="1">
        <v>152.69999999999999</v>
      </c>
      <c r="Z236" s="1">
        <v>131.4</v>
      </c>
      <c r="AA236" s="1">
        <v>148</v>
      </c>
      <c r="AB236" s="1">
        <v>159.69999999999999</v>
      </c>
      <c r="AC236" s="1">
        <v>138.80000000000001</v>
      </c>
      <c r="AD236" s="1">
        <v>144.9</v>
      </c>
      <c r="AE236" s="1">
        <v>145.69999999999999</v>
      </c>
      <c r="AF236" s="6">
        <f t="shared" si="12"/>
        <v>141.11538461538464</v>
      </c>
      <c r="AG236" s="6">
        <f t="shared" si="13"/>
        <v>152.66666666666666</v>
      </c>
      <c r="AH236" s="6">
        <f t="shared" si="14"/>
        <v>149.83333333333334</v>
      </c>
      <c r="AI236" s="6">
        <f t="shared" si="15"/>
        <v>146.92500000000001</v>
      </c>
      <c r="AJ236" s="6">
        <f>IFERROR(AVERAGE(Main[[#This Row],[Health]],Main[[#This Row],[Personal care and effects]]),"NA")</f>
        <v>145.75</v>
      </c>
    </row>
    <row r="237" spans="1:36" ht="13.2" x14ac:dyDescent="0.25">
      <c r="A237" s="1" t="s">
        <v>39</v>
      </c>
      <c r="B237" s="1">
        <v>2019</v>
      </c>
      <c r="C237" s="1" t="s">
        <v>47</v>
      </c>
      <c r="D237" s="8">
        <f>DATEVALUE(Main[[#This Row],[Month]]&amp;Main[[#This Row],[Year]])</f>
        <v>43678</v>
      </c>
      <c r="E237" s="1">
        <v>142.1</v>
      </c>
      <c r="F237" s="1">
        <v>158.30000000000001</v>
      </c>
      <c r="G237" s="1">
        <v>140.80000000000001</v>
      </c>
      <c r="H237" s="1">
        <v>144.9</v>
      </c>
      <c r="I237" s="1">
        <v>119.9</v>
      </c>
      <c r="J237" s="1">
        <v>153.9</v>
      </c>
      <c r="K237" s="1">
        <v>189.1</v>
      </c>
      <c r="L237" s="1">
        <v>129.80000000000001</v>
      </c>
      <c r="M237" s="1">
        <v>112.7</v>
      </c>
      <c r="N237" s="1">
        <v>142.5</v>
      </c>
      <c r="O237" s="1">
        <v>129.80000000000001</v>
      </c>
      <c r="P237" s="1">
        <v>156.19999999999999</v>
      </c>
      <c r="Q237" s="1">
        <v>149.1</v>
      </c>
      <c r="R237" s="1">
        <v>167.9</v>
      </c>
      <c r="S237" s="1">
        <v>145</v>
      </c>
      <c r="T237" s="1">
        <v>132.19999999999999</v>
      </c>
      <c r="U237" s="1">
        <v>143</v>
      </c>
      <c r="V237" s="1">
        <v>151.6</v>
      </c>
      <c r="W237" s="1">
        <v>125.5</v>
      </c>
      <c r="X237" s="1">
        <v>138.1</v>
      </c>
      <c r="Y237" s="1">
        <v>141.5</v>
      </c>
      <c r="Z237" s="1">
        <v>120.8</v>
      </c>
      <c r="AA237" s="1">
        <v>135.4</v>
      </c>
      <c r="AB237" s="1">
        <v>151.5</v>
      </c>
      <c r="AC237" s="1">
        <v>137.80000000000001</v>
      </c>
      <c r="AD237" s="1">
        <v>135.30000000000001</v>
      </c>
      <c r="AE237" s="1">
        <v>144.19999999999999</v>
      </c>
      <c r="AF237" s="6">
        <f t="shared" si="12"/>
        <v>143.77692307692308</v>
      </c>
      <c r="AG237" s="6">
        <f t="shared" si="13"/>
        <v>146.20000000000002</v>
      </c>
      <c r="AH237" s="6">
        <f t="shared" si="14"/>
        <v>140.06666666666666</v>
      </c>
      <c r="AI237" s="6">
        <f t="shared" si="15"/>
        <v>137.5</v>
      </c>
      <c r="AJ237" s="6">
        <f>IFERROR(AVERAGE(Main[[#This Row],[Health]],Main[[#This Row],[Personal care and effects]]),"NA")</f>
        <v>139.65</v>
      </c>
    </row>
    <row r="238" spans="1:36" ht="13.2" x14ac:dyDescent="0.25">
      <c r="A238" s="1" t="s">
        <v>40</v>
      </c>
      <c r="B238" s="1">
        <v>2019</v>
      </c>
      <c r="C238" s="1" t="s">
        <v>47</v>
      </c>
      <c r="D238" s="8">
        <f>DATEVALUE(Main[[#This Row],[Month]]&amp;Main[[#This Row],[Year]])</f>
        <v>43678</v>
      </c>
      <c r="E238" s="1">
        <v>140.1</v>
      </c>
      <c r="F238" s="1">
        <v>160.6</v>
      </c>
      <c r="G238" s="1">
        <v>138.5</v>
      </c>
      <c r="H238" s="1">
        <v>144.69999999999999</v>
      </c>
      <c r="I238" s="1">
        <v>122.9</v>
      </c>
      <c r="J238" s="1">
        <v>149.4</v>
      </c>
      <c r="K238" s="1">
        <v>167.4</v>
      </c>
      <c r="L238" s="1">
        <v>130.9</v>
      </c>
      <c r="M238" s="1">
        <v>112</v>
      </c>
      <c r="N238" s="1">
        <v>142.6</v>
      </c>
      <c r="O238" s="1">
        <v>134.9</v>
      </c>
      <c r="P238" s="1">
        <v>156.6</v>
      </c>
      <c r="Q238" s="1">
        <v>145.9</v>
      </c>
      <c r="R238" s="1">
        <v>165.8</v>
      </c>
      <c r="S238" s="1">
        <v>149.1</v>
      </c>
      <c r="T238" s="1">
        <v>140.6</v>
      </c>
      <c r="U238" s="1">
        <v>147.9</v>
      </c>
      <c r="V238" s="1">
        <v>151.6</v>
      </c>
      <c r="W238" s="1">
        <v>138.5</v>
      </c>
      <c r="X238" s="1">
        <v>144.5</v>
      </c>
      <c r="Y238" s="1">
        <v>148.5</v>
      </c>
      <c r="Z238" s="1">
        <v>125.8</v>
      </c>
      <c r="AA238" s="1">
        <v>140.9</v>
      </c>
      <c r="AB238" s="1">
        <v>154.9</v>
      </c>
      <c r="AC238" s="1">
        <v>138.4</v>
      </c>
      <c r="AD238" s="1">
        <v>140.19999999999999</v>
      </c>
      <c r="AE238" s="1">
        <v>145</v>
      </c>
      <c r="AF238" s="6">
        <f t="shared" si="12"/>
        <v>142.03846153846155</v>
      </c>
      <c r="AG238" s="6">
        <f t="shared" si="13"/>
        <v>148.96666666666667</v>
      </c>
      <c r="AH238" s="6">
        <f t="shared" si="14"/>
        <v>145.86666666666667</v>
      </c>
      <c r="AI238" s="6">
        <f t="shared" si="15"/>
        <v>143.06</v>
      </c>
      <c r="AJ238" s="6">
        <f>IFERROR(AVERAGE(Main[[#This Row],[Health]],Main[[#This Row],[Personal care and effects]]),"NA")</f>
        <v>143.44999999999999</v>
      </c>
    </row>
    <row r="239" spans="1:36" ht="13.2" x14ac:dyDescent="0.25">
      <c r="A239" s="1" t="s">
        <v>36</v>
      </c>
      <c r="B239" s="1">
        <v>2019</v>
      </c>
      <c r="C239" s="1" t="s">
        <v>48</v>
      </c>
      <c r="D239" s="8">
        <f>DATEVALUE(Main[[#This Row],[Month]]&amp;Main[[#This Row],[Year]])</f>
        <v>43709</v>
      </c>
      <c r="E239" s="1">
        <v>140.1</v>
      </c>
      <c r="F239" s="1">
        <v>161.9</v>
      </c>
      <c r="G239" s="1">
        <v>138.30000000000001</v>
      </c>
      <c r="H239" s="1">
        <v>145.69999999999999</v>
      </c>
      <c r="I239" s="1">
        <v>125.1</v>
      </c>
      <c r="J239" s="1">
        <v>143.80000000000001</v>
      </c>
      <c r="K239" s="1">
        <v>163.4</v>
      </c>
      <c r="L239" s="1">
        <v>132.19999999999999</v>
      </c>
      <c r="M239" s="1">
        <v>112.8</v>
      </c>
      <c r="N239" s="1">
        <v>144.19999999999999</v>
      </c>
      <c r="O239" s="1">
        <v>138.5</v>
      </c>
      <c r="P239" s="1">
        <v>157.19999999999999</v>
      </c>
      <c r="Q239" s="1">
        <v>145.5</v>
      </c>
      <c r="R239" s="1">
        <v>165.7</v>
      </c>
      <c r="S239" s="1">
        <v>151.69999999999999</v>
      </c>
      <c r="T239" s="1">
        <v>146.6</v>
      </c>
      <c r="U239" s="1">
        <v>151</v>
      </c>
      <c r="V239" s="1" t="s">
        <v>38</v>
      </c>
      <c r="W239" s="1">
        <v>146.9</v>
      </c>
      <c r="X239" s="1">
        <v>150.30000000000001</v>
      </c>
      <c r="Y239" s="1">
        <v>153.4</v>
      </c>
      <c r="Z239" s="1">
        <v>131.6</v>
      </c>
      <c r="AA239" s="1">
        <v>148.30000000000001</v>
      </c>
      <c r="AB239" s="1">
        <v>160.19999999999999</v>
      </c>
      <c r="AC239" s="1">
        <v>140.19999999999999</v>
      </c>
      <c r="AD239" s="1">
        <v>145.4</v>
      </c>
      <c r="AE239" s="1">
        <v>146.69999999999999</v>
      </c>
      <c r="AF239" s="6">
        <f t="shared" si="12"/>
        <v>142.2076923076923</v>
      </c>
      <c r="AG239" s="6">
        <f t="shared" si="13"/>
        <v>153.13333333333333</v>
      </c>
      <c r="AH239" s="6">
        <f t="shared" si="14"/>
        <v>149.76666666666665</v>
      </c>
      <c r="AI239" s="6">
        <f t="shared" si="15"/>
        <v>147.25</v>
      </c>
      <c r="AJ239" s="6">
        <f>IFERROR(AVERAGE(Main[[#This Row],[Health]],Main[[#This Row],[Personal care and effects]]),"NA")</f>
        <v>146.80000000000001</v>
      </c>
    </row>
    <row r="240" spans="1:36" ht="13.2" x14ac:dyDescent="0.25">
      <c r="A240" s="1" t="s">
        <v>39</v>
      </c>
      <c r="B240" s="1">
        <v>2019</v>
      </c>
      <c r="C240" s="1" t="s">
        <v>48</v>
      </c>
      <c r="D240" s="8">
        <f>DATEVALUE(Main[[#This Row],[Month]]&amp;Main[[#This Row],[Year]])</f>
        <v>43709</v>
      </c>
      <c r="E240" s="1">
        <v>142.69999999999999</v>
      </c>
      <c r="F240" s="1">
        <v>158.69999999999999</v>
      </c>
      <c r="G240" s="1">
        <v>141.6</v>
      </c>
      <c r="H240" s="1">
        <v>144.9</v>
      </c>
      <c r="I240" s="1">
        <v>120.8</v>
      </c>
      <c r="J240" s="1">
        <v>149.80000000000001</v>
      </c>
      <c r="K240" s="1">
        <v>192.4</v>
      </c>
      <c r="L240" s="1">
        <v>130.30000000000001</v>
      </c>
      <c r="M240" s="1">
        <v>114</v>
      </c>
      <c r="N240" s="1">
        <v>143.80000000000001</v>
      </c>
      <c r="O240" s="1">
        <v>130</v>
      </c>
      <c r="P240" s="1">
        <v>156.4</v>
      </c>
      <c r="Q240" s="1">
        <v>149.5</v>
      </c>
      <c r="R240" s="1">
        <v>168.6</v>
      </c>
      <c r="S240" s="1">
        <v>145.30000000000001</v>
      </c>
      <c r="T240" s="1">
        <v>132.19999999999999</v>
      </c>
      <c r="U240" s="1">
        <v>143.30000000000001</v>
      </c>
      <c r="V240" s="1">
        <v>152.19999999999999</v>
      </c>
      <c r="W240" s="1">
        <v>126.6</v>
      </c>
      <c r="X240" s="1">
        <v>138.30000000000001</v>
      </c>
      <c r="Y240" s="1">
        <v>141.9</v>
      </c>
      <c r="Z240" s="1">
        <v>121.2</v>
      </c>
      <c r="AA240" s="1">
        <v>135.9</v>
      </c>
      <c r="AB240" s="1">
        <v>151.6</v>
      </c>
      <c r="AC240" s="1">
        <v>139</v>
      </c>
      <c r="AD240" s="1">
        <v>135.69999999999999</v>
      </c>
      <c r="AE240" s="1">
        <v>144.69999999999999</v>
      </c>
      <c r="AF240" s="6">
        <f t="shared" si="12"/>
        <v>144.22307692307692</v>
      </c>
      <c r="AG240" s="6">
        <f t="shared" si="13"/>
        <v>146.73333333333332</v>
      </c>
      <c r="AH240" s="6">
        <f t="shared" si="14"/>
        <v>140.26666666666668</v>
      </c>
      <c r="AI240" s="6">
        <f t="shared" si="15"/>
        <v>137.97999999999999</v>
      </c>
      <c r="AJ240" s="6">
        <f>IFERROR(AVERAGE(Main[[#This Row],[Health]],Main[[#This Row],[Personal care and effects]]),"NA")</f>
        <v>140.44999999999999</v>
      </c>
    </row>
    <row r="241" spans="1:36" ht="13.2" x14ac:dyDescent="0.25">
      <c r="A241" s="1" t="s">
        <v>40</v>
      </c>
      <c r="B241" s="1">
        <v>2019</v>
      </c>
      <c r="C241" s="1" t="s">
        <v>48</v>
      </c>
      <c r="D241" s="8">
        <f>DATEVALUE(Main[[#This Row],[Month]]&amp;Main[[#This Row],[Year]])</f>
        <v>43709</v>
      </c>
      <c r="E241" s="1">
        <v>140.9</v>
      </c>
      <c r="F241" s="1">
        <v>160.80000000000001</v>
      </c>
      <c r="G241" s="1">
        <v>139.6</v>
      </c>
      <c r="H241" s="1">
        <v>145.4</v>
      </c>
      <c r="I241" s="1">
        <v>123.5</v>
      </c>
      <c r="J241" s="1">
        <v>146.6</v>
      </c>
      <c r="K241" s="1">
        <v>173.2</v>
      </c>
      <c r="L241" s="1">
        <v>131.6</v>
      </c>
      <c r="M241" s="1">
        <v>113.2</v>
      </c>
      <c r="N241" s="1">
        <v>144.1</v>
      </c>
      <c r="O241" s="1">
        <v>135</v>
      </c>
      <c r="P241" s="1">
        <v>156.80000000000001</v>
      </c>
      <c r="Q241" s="1">
        <v>147</v>
      </c>
      <c r="R241" s="1">
        <v>166.5</v>
      </c>
      <c r="S241" s="1">
        <v>149.19999999999999</v>
      </c>
      <c r="T241" s="1">
        <v>140.6</v>
      </c>
      <c r="U241" s="1">
        <v>147.9</v>
      </c>
      <c r="V241" s="1">
        <v>152.19999999999999</v>
      </c>
      <c r="W241" s="1">
        <v>139.19999999999999</v>
      </c>
      <c r="X241" s="1">
        <v>144.6</v>
      </c>
      <c r="Y241" s="1">
        <v>149</v>
      </c>
      <c r="Z241" s="1">
        <v>126.1</v>
      </c>
      <c r="AA241" s="1">
        <v>141.30000000000001</v>
      </c>
      <c r="AB241" s="1">
        <v>155.19999999999999</v>
      </c>
      <c r="AC241" s="1">
        <v>139.69999999999999</v>
      </c>
      <c r="AD241" s="1">
        <v>140.69999999999999</v>
      </c>
      <c r="AE241" s="1">
        <v>145.80000000000001</v>
      </c>
      <c r="AF241" s="6">
        <f t="shared" si="12"/>
        <v>142.89999999999998</v>
      </c>
      <c r="AG241" s="6">
        <f t="shared" si="13"/>
        <v>149.5</v>
      </c>
      <c r="AH241" s="6">
        <f t="shared" si="14"/>
        <v>145.89999999999998</v>
      </c>
      <c r="AI241" s="6">
        <f t="shared" si="15"/>
        <v>143.45999999999998</v>
      </c>
      <c r="AJ241" s="6">
        <f>IFERROR(AVERAGE(Main[[#This Row],[Health]],Main[[#This Row],[Personal care and effects]]),"NA")</f>
        <v>144.35</v>
      </c>
    </row>
    <row r="242" spans="1:36" ht="13.2" x14ac:dyDescent="0.25">
      <c r="A242" s="1" t="s">
        <v>36</v>
      </c>
      <c r="B242" s="1">
        <v>2019</v>
      </c>
      <c r="C242" s="1" t="s">
        <v>49</v>
      </c>
      <c r="D242" s="8">
        <f>DATEVALUE(Main[[#This Row],[Month]]&amp;Main[[#This Row],[Year]])</f>
        <v>43739</v>
      </c>
      <c r="E242" s="1">
        <v>141</v>
      </c>
      <c r="F242" s="1">
        <v>161.6</v>
      </c>
      <c r="G242" s="1">
        <v>141.19999999999999</v>
      </c>
      <c r="H242" s="1">
        <v>146.5</v>
      </c>
      <c r="I242" s="1">
        <v>125.6</v>
      </c>
      <c r="J242" s="1">
        <v>145.69999999999999</v>
      </c>
      <c r="K242" s="1">
        <v>178.8</v>
      </c>
      <c r="L242" s="1">
        <v>133.1</v>
      </c>
      <c r="M242" s="1">
        <v>113.6</v>
      </c>
      <c r="N242" s="1">
        <v>145.5</v>
      </c>
      <c r="O242" s="1">
        <v>138.6</v>
      </c>
      <c r="P242" s="1">
        <v>157.4</v>
      </c>
      <c r="Q242" s="1">
        <v>148.30000000000001</v>
      </c>
      <c r="R242" s="1">
        <v>166.3</v>
      </c>
      <c r="S242" s="1">
        <v>151.69999999999999</v>
      </c>
      <c r="T242" s="1">
        <v>146.69999999999999</v>
      </c>
      <c r="U242" s="1">
        <v>151</v>
      </c>
      <c r="V242" s="1" t="s">
        <v>38</v>
      </c>
      <c r="W242" s="1">
        <v>147.69999999999999</v>
      </c>
      <c r="X242" s="1">
        <v>150.6</v>
      </c>
      <c r="Y242" s="1">
        <v>153.69999999999999</v>
      </c>
      <c r="Z242" s="1">
        <v>131.69999999999999</v>
      </c>
      <c r="AA242" s="1">
        <v>148.69999999999999</v>
      </c>
      <c r="AB242" s="1">
        <v>160.69999999999999</v>
      </c>
      <c r="AC242" s="1">
        <v>140.30000000000001</v>
      </c>
      <c r="AD242" s="1">
        <v>145.69999999999999</v>
      </c>
      <c r="AE242" s="1">
        <v>148.30000000000001</v>
      </c>
      <c r="AF242" s="6">
        <f t="shared" si="12"/>
        <v>144.37692307692305</v>
      </c>
      <c r="AG242" s="6">
        <f t="shared" si="13"/>
        <v>153.56666666666666</v>
      </c>
      <c r="AH242" s="6">
        <f t="shared" si="14"/>
        <v>149.79999999999998</v>
      </c>
      <c r="AI242" s="6">
        <f t="shared" si="15"/>
        <v>147.67499999999998</v>
      </c>
      <c r="AJ242" s="6">
        <f>IFERROR(AVERAGE(Main[[#This Row],[Health]],Main[[#This Row],[Personal care and effects]]),"NA")</f>
        <v>147</v>
      </c>
    </row>
    <row r="243" spans="1:36" ht="13.2" x14ac:dyDescent="0.25">
      <c r="A243" s="1" t="s">
        <v>39</v>
      </c>
      <c r="B243" s="1">
        <v>2019</v>
      </c>
      <c r="C243" s="1" t="s">
        <v>49</v>
      </c>
      <c r="D243" s="8">
        <f>DATEVALUE(Main[[#This Row],[Month]]&amp;Main[[#This Row],[Year]])</f>
        <v>43739</v>
      </c>
      <c r="E243" s="1">
        <v>143.5</v>
      </c>
      <c r="F243" s="1">
        <v>159.80000000000001</v>
      </c>
      <c r="G243" s="1">
        <v>144.69999999999999</v>
      </c>
      <c r="H243" s="1">
        <v>145.6</v>
      </c>
      <c r="I243" s="1">
        <v>121.1</v>
      </c>
      <c r="J243" s="1">
        <v>150.6</v>
      </c>
      <c r="K243" s="1">
        <v>207.2</v>
      </c>
      <c r="L243" s="1">
        <v>131.19999999999999</v>
      </c>
      <c r="M243" s="1">
        <v>114.8</v>
      </c>
      <c r="N243" s="1">
        <v>145.19999999999999</v>
      </c>
      <c r="O243" s="1">
        <v>130.19999999999999</v>
      </c>
      <c r="P243" s="1">
        <v>156.80000000000001</v>
      </c>
      <c r="Q243" s="1">
        <v>151.9</v>
      </c>
      <c r="R243" s="1">
        <v>169.3</v>
      </c>
      <c r="S243" s="1">
        <v>145.9</v>
      </c>
      <c r="T243" s="1">
        <v>132.4</v>
      </c>
      <c r="U243" s="1">
        <v>143.9</v>
      </c>
      <c r="V243" s="1">
        <v>153</v>
      </c>
      <c r="W243" s="1">
        <v>128.9</v>
      </c>
      <c r="X243" s="1">
        <v>138.69999999999999</v>
      </c>
      <c r="Y243" s="1">
        <v>142.4</v>
      </c>
      <c r="Z243" s="1">
        <v>121.5</v>
      </c>
      <c r="AA243" s="1">
        <v>136.19999999999999</v>
      </c>
      <c r="AB243" s="1">
        <v>151.69999999999999</v>
      </c>
      <c r="AC243" s="1">
        <v>139.5</v>
      </c>
      <c r="AD243" s="1">
        <v>136</v>
      </c>
      <c r="AE243" s="1">
        <v>146</v>
      </c>
      <c r="AF243" s="6">
        <f t="shared" si="12"/>
        <v>146.35384615384618</v>
      </c>
      <c r="AG243" s="6">
        <f t="shared" si="13"/>
        <v>147.16666666666666</v>
      </c>
      <c r="AH243" s="6">
        <f t="shared" si="14"/>
        <v>140.73333333333335</v>
      </c>
      <c r="AI243" s="6">
        <f t="shared" si="15"/>
        <v>138.76</v>
      </c>
      <c r="AJ243" s="6">
        <f>IFERROR(AVERAGE(Main[[#This Row],[Health]],Main[[#This Row],[Personal care and effects]]),"NA")</f>
        <v>140.94999999999999</v>
      </c>
    </row>
    <row r="244" spans="1:36" ht="13.2" x14ac:dyDescent="0.25">
      <c r="A244" s="1" t="s">
        <v>40</v>
      </c>
      <c r="B244" s="1">
        <v>2019</v>
      </c>
      <c r="C244" s="1" t="s">
        <v>49</v>
      </c>
      <c r="D244" s="8">
        <f>DATEVALUE(Main[[#This Row],[Month]]&amp;Main[[#This Row],[Year]])</f>
        <v>43739</v>
      </c>
      <c r="E244" s="1">
        <v>141.80000000000001</v>
      </c>
      <c r="F244" s="1">
        <v>161</v>
      </c>
      <c r="G244" s="1">
        <v>142.6</v>
      </c>
      <c r="H244" s="1">
        <v>146.19999999999999</v>
      </c>
      <c r="I244" s="1">
        <v>123.9</v>
      </c>
      <c r="J244" s="1">
        <v>148</v>
      </c>
      <c r="K244" s="1">
        <v>188.4</v>
      </c>
      <c r="L244" s="1">
        <v>132.5</v>
      </c>
      <c r="M244" s="1">
        <v>114</v>
      </c>
      <c r="N244" s="1">
        <v>145.4</v>
      </c>
      <c r="O244" s="1">
        <v>135.1</v>
      </c>
      <c r="P244" s="1">
        <v>157.1</v>
      </c>
      <c r="Q244" s="1">
        <v>149.6</v>
      </c>
      <c r="R244" s="1">
        <v>167.1</v>
      </c>
      <c r="S244" s="1">
        <v>149.4</v>
      </c>
      <c r="T244" s="1">
        <v>140.80000000000001</v>
      </c>
      <c r="U244" s="1">
        <v>148.19999999999999</v>
      </c>
      <c r="V244" s="1">
        <v>153</v>
      </c>
      <c r="W244" s="1">
        <v>140.6</v>
      </c>
      <c r="X244" s="1">
        <v>145</v>
      </c>
      <c r="Y244" s="1">
        <v>149.4</v>
      </c>
      <c r="Z244" s="1">
        <v>126.3</v>
      </c>
      <c r="AA244" s="1">
        <v>141.69999999999999</v>
      </c>
      <c r="AB244" s="1">
        <v>155.4</v>
      </c>
      <c r="AC244" s="1">
        <v>140</v>
      </c>
      <c r="AD244" s="1">
        <v>141</v>
      </c>
      <c r="AE244" s="1">
        <v>147.19999999999999</v>
      </c>
      <c r="AF244" s="6">
        <f t="shared" si="12"/>
        <v>145.04615384615383</v>
      </c>
      <c r="AG244" s="6">
        <f t="shared" si="13"/>
        <v>149.93333333333331</v>
      </c>
      <c r="AH244" s="6">
        <f t="shared" si="14"/>
        <v>146.13333333333335</v>
      </c>
      <c r="AI244" s="6">
        <f t="shared" si="15"/>
        <v>144.06</v>
      </c>
      <c r="AJ244" s="6">
        <f>IFERROR(AVERAGE(Main[[#This Row],[Health]],Main[[#This Row],[Personal care and effects]]),"NA")</f>
        <v>144.69999999999999</v>
      </c>
    </row>
    <row r="245" spans="1:36" ht="13.2" x14ac:dyDescent="0.25">
      <c r="A245" s="1" t="s">
        <v>36</v>
      </c>
      <c r="B245" s="1">
        <v>2019</v>
      </c>
      <c r="C245" s="1" t="s">
        <v>50</v>
      </c>
      <c r="D245" s="8">
        <f>DATEVALUE(Main[[#This Row],[Month]]&amp;Main[[#This Row],[Year]])</f>
        <v>43770</v>
      </c>
      <c r="E245" s="1">
        <v>141.80000000000001</v>
      </c>
      <c r="F245" s="1">
        <v>163.69999999999999</v>
      </c>
      <c r="G245" s="1">
        <v>143.80000000000001</v>
      </c>
      <c r="H245" s="1">
        <v>147.1</v>
      </c>
      <c r="I245" s="1">
        <v>126</v>
      </c>
      <c r="J245" s="1">
        <v>146.19999999999999</v>
      </c>
      <c r="K245" s="1">
        <v>191.4</v>
      </c>
      <c r="L245" s="1">
        <v>136.19999999999999</v>
      </c>
      <c r="M245" s="1">
        <v>113.8</v>
      </c>
      <c r="N245" s="1">
        <v>147.30000000000001</v>
      </c>
      <c r="O245" s="1">
        <v>138.69999999999999</v>
      </c>
      <c r="P245" s="1">
        <v>157.69999999999999</v>
      </c>
      <c r="Q245" s="1">
        <v>150.9</v>
      </c>
      <c r="R245" s="1">
        <v>167.2</v>
      </c>
      <c r="S245" s="1">
        <v>152.30000000000001</v>
      </c>
      <c r="T245" s="1">
        <v>147</v>
      </c>
      <c r="U245" s="1">
        <v>151.5</v>
      </c>
      <c r="V245" s="1" t="s">
        <v>38</v>
      </c>
      <c r="W245" s="1">
        <v>148.4</v>
      </c>
      <c r="X245" s="1">
        <v>150.9</v>
      </c>
      <c r="Y245" s="1">
        <v>154.30000000000001</v>
      </c>
      <c r="Z245" s="1">
        <v>132.1</v>
      </c>
      <c r="AA245" s="1">
        <v>149.1</v>
      </c>
      <c r="AB245" s="1">
        <v>160.80000000000001</v>
      </c>
      <c r="AC245" s="1">
        <v>140.6</v>
      </c>
      <c r="AD245" s="1">
        <v>146.1</v>
      </c>
      <c r="AE245" s="1">
        <v>149.9</v>
      </c>
      <c r="AF245" s="6">
        <f t="shared" si="12"/>
        <v>146.50769230769231</v>
      </c>
      <c r="AG245" s="6">
        <f t="shared" si="13"/>
        <v>154.13333333333333</v>
      </c>
      <c r="AH245" s="6">
        <f t="shared" si="14"/>
        <v>150.26666666666668</v>
      </c>
      <c r="AI245" s="6">
        <f t="shared" si="15"/>
        <v>148.05000000000001</v>
      </c>
      <c r="AJ245" s="6">
        <f>IFERROR(AVERAGE(Main[[#This Row],[Health]],Main[[#This Row],[Personal care and effects]]),"NA")</f>
        <v>147.44999999999999</v>
      </c>
    </row>
    <row r="246" spans="1:36" ht="13.2" x14ac:dyDescent="0.25">
      <c r="A246" s="1" t="s">
        <v>39</v>
      </c>
      <c r="B246" s="1">
        <v>2019</v>
      </c>
      <c r="C246" s="1" t="s">
        <v>50</v>
      </c>
      <c r="D246" s="8">
        <f>DATEVALUE(Main[[#This Row],[Month]]&amp;Main[[#This Row],[Year]])</f>
        <v>43770</v>
      </c>
      <c r="E246" s="1">
        <v>144.1</v>
      </c>
      <c r="F246" s="1">
        <v>162.4</v>
      </c>
      <c r="G246" s="1">
        <v>148.4</v>
      </c>
      <c r="H246" s="1">
        <v>145.9</v>
      </c>
      <c r="I246" s="1">
        <v>121.5</v>
      </c>
      <c r="J246" s="1">
        <v>148.80000000000001</v>
      </c>
      <c r="K246" s="1">
        <v>215.7</v>
      </c>
      <c r="L246" s="1">
        <v>134.6</v>
      </c>
      <c r="M246" s="1">
        <v>115</v>
      </c>
      <c r="N246" s="1">
        <v>146.30000000000001</v>
      </c>
      <c r="O246" s="1">
        <v>130.5</v>
      </c>
      <c r="P246" s="1">
        <v>157.19999999999999</v>
      </c>
      <c r="Q246" s="1">
        <v>153.6</v>
      </c>
      <c r="R246" s="1">
        <v>169.9</v>
      </c>
      <c r="S246" s="1">
        <v>146.30000000000001</v>
      </c>
      <c r="T246" s="1">
        <v>132.6</v>
      </c>
      <c r="U246" s="1">
        <v>144.19999999999999</v>
      </c>
      <c r="V246" s="1">
        <v>153.5</v>
      </c>
      <c r="W246" s="1">
        <v>132.19999999999999</v>
      </c>
      <c r="X246" s="1">
        <v>139.1</v>
      </c>
      <c r="Y246" s="1">
        <v>142.80000000000001</v>
      </c>
      <c r="Z246" s="1">
        <v>121.7</v>
      </c>
      <c r="AA246" s="1">
        <v>136.69999999999999</v>
      </c>
      <c r="AB246" s="1">
        <v>151.80000000000001</v>
      </c>
      <c r="AC246" s="1">
        <v>139.80000000000001</v>
      </c>
      <c r="AD246" s="1">
        <v>136.30000000000001</v>
      </c>
      <c r="AE246" s="1">
        <v>147</v>
      </c>
      <c r="AF246" s="6">
        <f t="shared" si="12"/>
        <v>147.99999999999997</v>
      </c>
      <c r="AG246" s="6">
        <f t="shared" si="13"/>
        <v>147.63333333333335</v>
      </c>
      <c r="AH246" s="6">
        <f t="shared" si="14"/>
        <v>141.03333333333333</v>
      </c>
      <c r="AI246" s="6">
        <f t="shared" si="15"/>
        <v>139.66</v>
      </c>
      <c r="AJ246" s="6">
        <f>IFERROR(AVERAGE(Main[[#This Row],[Health]],Main[[#This Row],[Personal care and effects]]),"NA")</f>
        <v>141.30000000000001</v>
      </c>
    </row>
    <row r="247" spans="1:36" ht="13.2" x14ac:dyDescent="0.25">
      <c r="A247" s="1" t="s">
        <v>40</v>
      </c>
      <c r="B247" s="1">
        <v>2019</v>
      </c>
      <c r="C247" s="1" t="s">
        <v>50</v>
      </c>
      <c r="D247" s="8">
        <f>DATEVALUE(Main[[#This Row],[Month]]&amp;Main[[#This Row],[Year]])</f>
        <v>43770</v>
      </c>
      <c r="E247" s="1">
        <v>142.5</v>
      </c>
      <c r="F247" s="1">
        <v>163.19999999999999</v>
      </c>
      <c r="G247" s="1">
        <v>145.6</v>
      </c>
      <c r="H247" s="1">
        <v>146.69999999999999</v>
      </c>
      <c r="I247" s="1">
        <v>124.3</v>
      </c>
      <c r="J247" s="1">
        <v>147.4</v>
      </c>
      <c r="K247" s="1">
        <v>199.6</v>
      </c>
      <c r="L247" s="1">
        <v>135.69999999999999</v>
      </c>
      <c r="M247" s="1">
        <v>114.2</v>
      </c>
      <c r="N247" s="1">
        <v>147</v>
      </c>
      <c r="O247" s="1">
        <v>135.30000000000001</v>
      </c>
      <c r="P247" s="1">
        <v>157.5</v>
      </c>
      <c r="Q247" s="1">
        <v>151.9</v>
      </c>
      <c r="R247" s="1">
        <v>167.9</v>
      </c>
      <c r="S247" s="1">
        <v>149.9</v>
      </c>
      <c r="T247" s="1">
        <v>141</v>
      </c>
      <c r="U247" s="1">
        <v>148.6</v>
      </c>
      <c r="V247" s="1">
        <v>153.5</v>
      </c>
      <c r="W247" s="1">
        <v>142.30000000000001</v>
      </c>
      <c r="X247" s="1">
        <v>145.30000000000001</v>
      </c>
      <c r="Y247" s="1">
        <v>149.9</v>
      </c>
      <c r="Z247" s="1">
        <v>126.6</v>
      </c>
      <c r="AA247" s="1">
        <v>142.1</v>
      </c>
      <c r="AB247" s="1">
        <v>155.5</v>
      </c>
      <c r="AC247" s="1">
        <v>140.30000000000001</v>
      </c>
      <c r="AD247" s="1">
        <v>141.30000000000001</v>
      </c>
      <c r="AE247" s="1">
        <v>148.6</v>
      </c>
      <c r="AF247" s="6">
        <f t="shared" si="12"/>
        <v>146.99230769230769</v>
      </c>
      <c r="AG247" s="6">
        <f t="shared" si="13"/>
        <v>150.43333333333334</v>
      </c>
      <c r="AH247" s="6">
        <f t="shared" si="14"/>
        <v>146.5</v>
      </c>
      <c r="AI247" s="6">
        <f t="shared" si="15"/>
        <v>144.64000000000001</v>
      </c>
      <c r="AJ247" s="6">
        <f>IFERROR(AVERAGE(Main[[#This Row],[Health]],Main[[#This Row],[Personal care and effects]]),"NA")</f>
        <v>145.10000000000002</v>
      </c>
    </row>
    <row r="248" spans="1:36" ht="13.2" x14ac:dyDescent="0.25">
      <c r="A248" s="1" t="s">
        <v>36</v>
      </c>
      <c r="B248" s="1">
        <v>2019</v>
      </c>
      <c r="C248" s="1" t="s">
        <v>51</v>
      </c>
      <c r="D248" s="8">
        <f>DATEVALUE(Main[[#This Row],[Month]]&amp;Main[[#This Row],[Year]])</f>
        <v>43800</v>
      </c>
      <c r="E248" s="1">
        <v>142.80000000000001</v>
      </c>
      <c r="F248" s="1">
        <v>165.3</v>
      </c>
      <c r="G248" s="1">
        <v>149.5</v>
      </c>
      <c r="H248" s="1">
        <v>148.69999999999999</v>
      </c>
      <c r="I248" s="1">
        <v>127.5</v>
      </c>
      <c r="J248" s="1">
        <v>144.30000000000001</v>
      </c>
      <c r="K248" s="1">
        <v>209.5</v>
      </c>
      <c r="L248" s="1">
        <v>138.80000000000001</v>
      </c>
      <c r="M248" s="1">
        <v>113.6</v>
      </c>
      <c r="N248" s="1">
        <v>149.1</v>
      </c>
      <c r="O248" s="1">
        <v>139.30000000000001</v>
      </c>
      <c r="P248" s="1">
        <v>158.30000000000001</v>
      </c>
      <c r="Q248" s="1">
        <v>154.30000000000001</v>
      </c>
      <c r="R248" s="1">
        <v>167.8</v>
      </c>
      <c r="S248" s="1">
        <v>152.6</v>
      </c>
      <c r="T248" s="1">
        <v>147.30000000000001</v>
      </c>
      <c r="U248" s="1">
        <v>151.9</v>
      </c>
      <c r="V248" s="1" t="s">
        <v>38</v>
      </c>
      <c r="W248" s="1">
        <v>149.9</v>
      </c>
      <c r="X248" s="1">
        <v>151.19999999999999</v>
      </c>
      <c r="Y248" s="1">
        <v>154.80000000000001</v>
      </c>
      <c r="Z248" s="1">
        <v>135</v>
      </c>
      <c r="AA248" s="1">
        <v>149.5</v>
      </c>
      <c r="AB248" s="1">
        <v>161.1</v>
      </c>
      <c r="AC248" s="1">
        <v>140.6</v>
      </c>
      <c r="AD248" s="1">
        <v>147.1</v>
      </c>
      <c r="AE248" s="1">
        <v>152.30000000000001</v>
      </c>
      <c r="AF248" s="6">
        <f t="shared" si="12"/>
        <v>149.30769230769226</v>
      </c>
      <c r="AG248" s="6">
        <f t="shared" si="13"/>
        <v>154.79999999999998</v>
      </c>
      <c r="AH248" s="6">
        <f t="shared" si="14"/>
        <v>150.6</v>
      </c>
      <c r="AI248" s="6">
        <f t="shared" si="15"/>
        <v>149.30000000000001</v>
      </c>
      <c r="AJ248" s="6">
        <f>IFERROR(AVERAGE(Main[[#This Row],[Health]],Main[[#This Row],[Personal care and effects]]),"NA")</f>
        <v>147.69999999999999</v>
      </c>
    </row>
    <row r="249" spans="1:36" ht="13.2" x14ac:dyDescent="0.25">
      <c r="A249" s="1" t="s">
        <v>39</v>
      </c>
      <c r="B249" s="1">
        <v>2019</v>
      </c>
      <c r="C249" s="1" t="s">
        <v>51</v>
      </c>
      <c r="D249" s="8">
        <f>DATEVALUE(Main[[#This Row],[Month]]&amp;Main[[#This Row],[Year]])</f>
        <v>43800</v>
      </c>
      <c r="E249" s="1">
        <v>144.9</v>
      </c>
      <c r="F249" s="1">
        <v>164.5</v>
      </c>
      <c r="G249" s="1">
        <v>153.69999999999999</v>
      </c>
      <c r="H249" s="1">
        <v>147.5</v>
      </c>
      <c r="I249" s="1">
        <v>122.7</v>
      </c>
      <c r="J249" s="1">
        <v>147.19999999999999</v>
      </c>
      <c r="K249" s="1">
        <v>231.5</v>
      </c>
      <c r="L249" s="1">
        <v>137.19999999999999</v>
      </c>
      <c r="M249" s="1">
        <v>114.7</v>
      </c>
      <c r="N249" s="1">
        <v>148</v>
      </c>
      <c r="O249" s="1">
        <v>130.80000000000001</v>
      </c>
      <c r="P249" s="1">
        <v>157.69999999999999</v>
      </c>
      <c r="Q249" s="1">
        <v>156.30000000000001</v>
      </c>
      <c r="R249" s="1">
        <v>170.4</v>
      </c>
      <c r="S249" s="1">
        <v>146.80000000000001</v>
      </c>
      <c r="T249" s="1">
        <v>132.80000000000001</v>
      </c>
      <c r="U249" s="1">
        <v>144.6</v>
      </c>
      <c r="V249" s="1">
        <v>152.80000000000001</v>
      </c>
      <c r="W249" s="1">
        <v>133.6</v>
      </c>
      <c r="X249" s="1">
        <v>139.80000000000001</v>
      </c>
      <c r="Y249" s="1">
        <v>143.19999999999999</v>
      </c>
      <c r="Z249" s="1">
        <v>125.2</v>
      </c>
      <c r="AA249" s="1">
        <v>136.80000000000001</v>
      </c>
      <c r="AB249" s="1">
        <v>151.9</v>
      </c>
      <c r="AC249" s="1">
        <v>140.19999999999999</v>
      </c>
      <c r="AD249" s="1">
        <v>137.69999999999999</v>
      </c>
      <c r="AE249" s="1">
        <v>148.30000000000001</v>
      </c>
      <c r="AF249" s="6">
        <f t="shared" si="12"/>
        <v>150.51538461538462</v>
      </c>
      <c r="AG249" s="6">
        <f t="shared" si="13"/>
        <v>148.30000000000001</v>
      </c>
      <c r="AH249" s="6">
        <f t="shared" si="14"/>
        <v>141.4</v>
      </c>
      <c r="AI249" s="6">
        <f t="shared" si="15"/>
        <v>140.66</v>
      </c>
      <c r="AJ249" s="6">
        <f>IFERROR(AVERAGE(Main[[#This Row],[Health]],Main[[#This Row],[Personal care and effects]]),"NA")</f>
        <v>141.69999999999999</v>
      </c>
    </row>
    <row r="250" spans="1:36" ht="13.2" x14ac:dyDescent="0.25">
      <c r="A250" s="1" t="s">
        <v>40</v>
      </c>
      <c r="B250" s="1">
        <v>2019</v>
      </c>
      <c r="C250" s="1" t="s">
        <v>51</v>
      </c>
      <c r="D250" s="8">
        <f>DATEVALUE(Main[[#This Row],[Month]]&amp;Main[[#This Row],[Year]])</f>
        <v>43800</v>
      </c>
      <c r="E250" s="1">
        <v>143.5</v>
      </c>
      <c r="F250" s="1">
        <v>165</v>
      </c>
      <c r="G250" s="1">
        <v>151.1</v>
      </c>
      <c r="H250" s="1">
        <v>148.30000000000001</v>
      </c>
      <c r="I250" s="1">
        <v>125.7</v>
      </c>
      <c r="J250" s="1">
        <v>145.69999999999999</v>
      </c>
      <c r="K250" s="1">
        <v>217</v>
      </c>
      <c r="L250" s="1">
        <v>138.30000000000001</v>
      </c>
      <c r="M250" s="1">
        <v>114</v>
      </c>
      <c r="N250" s="1">
        <v>148.69999999999999</v>
      </c>
      <c r="O250" s="1">
        <v>135.80000000000001</v>
      </c>
      <c r="P250" s="1">
        <v>158</v>
      </c>
      <c r="Q250" s="1">
        <v>155</v>
      </c>
      <c r="R250" s="1">
        <v>168.5</v>
      </c>
      <c r="S250" s="1">
        <v>150.30000000000001</v>
      </c>
      <c r="T250" s="1">
        <v>141.30000000000001</v>
      </c>
      <c r="U250" s="1">
        <v>149</v>
      </c>
      <c r="V250" s="1">
        <v>152.80000000000001</v>
      </c>
      <c r="W250" s="1">
        <v>143.69999999999999</v>
      </c>
      <c r="X250" s="1">
        <v>145.80000000000001</v>
      </c>
      <c r="Y250" s="1">
        <v>150.4</v>
      </c>
      <c r="Z250" s="1">
        <v>129.80000000000001</v>
      </c>
      <c r="AA250" s="1">
        <v>142.30000000000001</v>
      </c>
      <c r="AB250" s="1">
        <v>155.69999999999999</v>
      </c>
      <c r="AC250" s="1">
        <v>140.4</v>
      </c>
      <c r="AD250" s="1">
        <v>142.5</v>
      </c>
      <c r="AE250" s="1">
        <v>150.4</v>
      </c>
      <c r="AF250" s="6">
        <f t="shared" si="12"/>
        <v>149.70000000000002</v>
      </c>
      <c r="AG250" s="6">
        <f t="shared" si="13"/>
        <v>151.1</v>
      </c>
      <c r="AH250" s="6">
        <f t="shared" si="14"/>
        <v>146.86666666666667</v>
      </c>
      <c r="AI250" s="6">
        <f t="shared" si="15"/>
        <v>145.56</v>
      </c>
      <c r="AJ250" s="6">
        <f>IFERROR(AVERAGE(Main[[#This Row],[Health]],Main[[#This Row],[Personal care and effects]]),"NA")</f>
        <v>145.4</v>
      </c>
    </row>
    <row r="251" spans="1:36" ht="13.2" x14ac:dyDescent="0.25">
      <c r="A251" s="1" t="s">
        <v>36</v>
      </c>
      <c r="B251" s="1">
        <v>2020</v>
      </c>
      <c r="C251" s="1" t="s">
        <v>37</v>
      </c>
      <c r="D251" s="8">
        <f>DATEVALUE(Main[[#This Row],[Month]]&amp;Main[[#This Row],[Year]])</f>
        <v>43831</v>
      </c>
      <c r="E251" s="1">
        <v>143.69999999999999</v>
      </c>
      <c r="F251" s="1">
        <v>167.3</v>
      </c>
      <c r="G251" s="1">
        <v>153.5</v>
      </c>
      <c r="H251" s="1">
        <v>150.5</v>
      </c>
      <c r="I251" s="1">
        <v>132</v>
      </c>
      <c r="J251" s="1">
        <v>142.19999999999999</v>
      </c>
      <c r="K251" s="1">
        <v>191.5</v>
      </c>
      <c r="L251" s="1">
        <v>141.1</v>
      </c>
      <c r="M251" s="1">
        <v>113.8</v>
      </c>
      <c r="N251" s="1">
        <v>151.6</v>
      </c>
      <c r="O251" s="1">
        <v>139.69999999999999</v>
      </c>
      <c r="P251" s="1">
        <v>158.69999999999999</v>
      </c>
      <c r="Q251" s="1">
        <v>153</v>
      </c>
      <c r="R251" s="1">
        <v>168.6</v>
      </c>
      <c r="S251" s="1">
        <v>152.80000000000001</v>
      </c>
      <c r="T251" s="1">
        <v>147.4</v>
      </c>
      <c r="U251" s="1">
        <v>152.1</v>
      </c>
      <c r="V251" s="1" t="s">
        <v>38</v>
      </c>
      <c r="W251" s="1">
        <v>150.4</v>
      </c>
      <c r="X251" s="1">
        <v>151.69999999999999</v>
      </c>
      <c r="Y251" s="1">
        <v>155.69999999999999</v>
      </c>
      <c r="Z251" s="1">
        <v>136.30000000000001</v>
      </c>
      <c r="AA251" s="1">
        <v>150.1</v>
      </c>
      <c r="AB251" s="1">
        <v>161.69999999999999</v>
      </c>
      <c r="AC251" s="1">
        <v>142.5</v>
      </c>
      <c r="AD251" s="1">
        <v>148.1</v>
      </c>
      <c r="AE251" s="1">
        <v>151.9</v>
      </c>
      <c r="AF251" s="6">
        <f t="shared" si="12"/>
        <v>149.12307692307692</v>
      </c>
      <c r="AG251" s="6">
        <f t="shared" si="13"/>
        <v>155.6</v>
      </c>
      <c r="AH251" s="6">
        <f t="shared" si="14"/>
        <v>150.76666666666668</v>
      </c>
      <c r="AI251" s="6">
        <f t="shared" si="15"/>
        <v>150.02500000000001</v>
      </c>
      <c r="AJ251" s="6">
        <f>IFERROR(AVERAGE(Main[[#This Row],[Health]],Main[[#This Row],[Personal care and effects]]),"NA")</f>
        <v>149.1</v>
      </c>
    </row>
    <row r="252" spans="1:36" ht="13.2" x14ac:dyDescent="0.25">
      <c r="A252" s="1" t="s">
        <v>39</v>
      </c>
      <c r="B252" s="1">
        <v>2020</v>
      </c>
      <c r="C252" s="1" t="s">
        <v>37</v>
      </c>
      <c r="D252" s="8">
        <f>DATEVALUE(Main[[#This Row],[Month]]&amp;Main[[#This Row],[Year]])</f>
        <v>43831</v>
      </c>
      <c r="E252" s="1">
        <v>145.6</v>
      </c>
      <c r="F252" s="1">
        <v>167.6</v>
      </c>
      <c r="G252" s="1">
        <v>157</v>
      </c>
      <c r="H252" s="1">
        <v>149.30000000000001</v>
      </c>
      <c r="I252" s="1">
        <v>126.3</v>
      </c>
      <c r="J252" s="1">
        <v>144.4</v>
      </c>
      <c r="K252" s="1">
        <v>207.8</v>
      </c>
      <c r="L252" s="1">
        <v>139.1</v>
      </c>
      <c r="M252" s="1">
        <v>114.8</v>
      </c>
      <c r="N252" s="1">
        <v>149.5</v>
      </c>
      <c r="O252" s="1">
        <v>131.1</v>
      </c>
      <c r="P252" s="1">
        <v>158.5</v>
      </c>
      <c r="Q252" s="1">
        <v>154.4</v>
      </c>
      <c r="R252" s="1">
        <v>170.8</v>
      </c>
      <c r="S252" s="1">
        <v>147</v>
      </c>
      <c r="T252" s="1">
        <v>133.19999999999999</v>
      </c>
      <c r="U252" s="1">
        <v>144.9</v>
      </c>
      <c r="V252" s="1">
        <v>153.9</v>
      </c>
      <c r="W252" s="1">
        <v>135.1</v>
      </c>
      <c r="X252" s="1">
        <v>140.1</v>
      </c>
      <c r="Y252" s="1">
        <v>143.80000000000001</v>
      </c>
      <c r="Z252" s="1">
        <v>126.1</v>
      </c>
      <c r="AA252" s="1">
        <v>137.19999999999999</v>
      </c>
      <c r="AB252" s="1">
        <v>152.1</v>
      </c>
      <c r="AC252" s="1">
        <v>142.1</v>
      </c>
      <c r="AD252" s="1">
        <v>138.4</v>
      </c>
      <c r="AE252" s="1">
        <v>148.19999999999999</v>
      </c>
      <c r="AF252" s="6">
        <f t="shared" si="12"/>
        <v>149.64615384615382</v>
      </c>
      <c r="AG252" s="6">
        <f t="shared" si="13"/>
        <v>148.79999999999998</v>
      </c>
      <c r="AH252" s="6">
        <f t="shared" si="14"/>
        <v>141.70000000000002</v>
      </c>
      <c r="AI252" s="6">
        <f t="shared" si="15"/>
        <v>141.46</v>
      </c>
      <c r="AJ252" s="6">
        <f>IFERROR(AVERAGE(Main[[#This Row],[Health]],Main[[#This Row],[Personal care and effects]]),"NA")</f>
        <v>142.94999999999999</v>
      </c>
    </row>
    <row r="253" spans="1:36" ht="13.2" x14ac:dyDescent="0.25">
      <c r="A253" s="1" t="s">
        <v>40</v>
      </c>
      <c r="B253" s="1">
        <v>2020</v>
      </c>
      <c r="C253" s="1" t="s">
        <v>37</v>
      </c>
      <c r="D253" s="8">
        <f>DATEVALUE(Main[[#This Row],[Month]]&amp;Main[[#This Row],[Year]])</f>
        <v>43831</v>
      </c>
      <c r="E253" s="1">
        <v>144.30000000000001</v>
      </c>
      <c r="F253" s="1">
        <v>167.4</v>
      </c>
      <c r="G253" s="1">
        <v>154.9</v>
      </c>
      <c r="H253" s="1">
        <v>150.1</v>
      </c>
      <c r="I253" s="1">
        <v>129.9</v>
      </c>
      <c r="J253" s="1">
        <v>143.19999999999999</v>
      </c>
      <c r="K253" s="1">
        <v>197</v>
      </c>
      <c r="L253" s="1">
        <v>140.4</v>
      </c>
      <c r="M253" s="1">
        <v>114.1</v>
      </c>
      <c r="N253" s="1">
        <v>150.9</v>
      </c>
      <c r="O253" s="1">
        <v>136.1</v>
      </c>
      <c r="P253" s="1">
        <v>158.6</v>
      </c>
      <c r="Q253" s="1">
        <v>153.5</v>
      </c>
      <c r="R253" s="1">
        <v>169.2</v>
      </c>
      <c r="S253" s="1">
        <v>150.5</v>
      </c>
      <c r="T253" s="1">
        <v>141.5</v>
      </c>
      <c r="U253" s="1">
        <v>149.19999999999999</v>
      </c>
      <c r="V253" s="1">
        <v>153.9</v>
      </c>
      <c r="W253" s="1">
        <v>144.6</v>
      </c>
      <c r="X253" s="1">
        <v>146.19999999999999</v>
      </c>
      <c r="Y253" s="1">
        <v>151.19999999999999</v>
      </c>
      <c r="Z253" s="1">
        <v>130.9</v>
      </c>
      <c r="AA253" s="1">
        <v>142.80000000000001</v>
      </c>
      <c r="AB253" s="1">
        <v>156.1</v>
      </c>
      <c r="AC253" s="1">
        <v>142.30000000000001</v>
      </c>
      <c r="AD253" s="1">
        <v>143.4</v>
      </c>
      <c r="AE253" s="1">
        <v>150.19999999999999</v>
      </c>
      <c r="AF253" s="6">
        <f t="shared" si="12"/>
        <v>149.26153846153846</v>
      </c>
      <c r="AG253" s="6">
        <f t="shared" si="13"/>
        <v>151.79999999999998</v>
      </c>
      <c r="AH253" s="6">
        <f t="shared" si="14"/>
        <v>147.06666666666666</v>
      </c>
      <c r="AI253" s="6">
        <f t="shared" si="15"/>
        <v>146.34</v>
      </c>
      <c r="AJ253" s="6">
        <f>IFERROR(AVERAGE(Main[[#This Row],[Health]],Main[[#This Row],[Personal care and effects]]),"NA")</f>
        <v>146.75</v>
      </c>
    </row>
    <row r="254" spans="1:36" ht="13.2" x14ac:dyDescent="0.25">
      <c r="A254" s="1" t="s">
        <v>36</v>
      </c>
      <c r="B254" s="1">
        <v>2020</v>
      </c>
      <c r="C254" s="1" t="s">
        <v>41</v>
      </c>
      <c r="D254" s="8">
        <f>DATEVALUE(Main[[#This Row],[Month]]&amp;Main[[#This Row],[Year]])</f>
        <v>43862</v>
      </c>
      <c r="E254" s="1">
        <v>144.19999999999999</v>
      </c>
      <c r="F254" s="1">
        <v>167.5</v>
      </c>
      <c r="G254" s="1">
        <v>150.9</v>
      </c>
      <c r="H254" s="1">
        <v>150.9</v>
      </c>
      <c r="I254" s="1">
        <v>133.69999999999999</v>
      </c>
      <c r="J254" s="1">
        <v>140.69999999999999</v>
      </c>
      <c r="K254" s="1">
        <v>165.1</v>
      </c>
      <c r="L254" s="1">
        <v>141.80000000000001</v>
      </c>
      <c r="M254" s="1">
        <v>113.1</v>
      </c>
      <c r="N254" s="1">
        <v>152.80000000000001</v>
      </c>
      <c r="O254" s="1">
        <v>140.1</v>
      </c>
      <c r="P254" s="1">
        <v>159.19999999999999</v>
      </c>
      <c r="Q254" s="1">
        <v>149.80000000000001</v>
      </c>
      <c r="R254" s="1">
        <v>169.4</v>
      </c>
      <c r="S254" s="1">
        <v>153</v>
      </c>
      <c r="T254" s="1">
        <v>147.5</v>
      </c>
      <c r="U254" s="1">
        <v>152.30000000000001</v>
      </c>
      <c r="V254" s="1" t="s">
        <v>38</v>
      </c>
      <c r="W254" s="1">
        <v>152.30000000000001</v>
      </c>
      <c r="X254" s="1">
        <v>151.80000000000001</v>
      </c>
      <c r="Y254" s="1">
        <v>156.19999999999999</v>
      </c>
      <c r="Z254" s="1">
        <v>136</v>
      </c>
      <c r="AA254" s="1">
        <v>150.4</v>
      </c>
      <c r="AB254" s="1">
        <v>161.9</v>
      </c>
      <c r="AC254" s="1">
        <v>143.4</v>
      </c>
      <c r="AD254" s="1">
        <v>148.4</v>
      </c>
      <c r="AE254" s="1">
        <v>150.4</v>
      </c>
      <c r="AF254" s="6">
        <f t="shared" si="12"/>
        <v>146.90769230769229</v>
      </c>
      <c r="AG254" s="6">
        <f t="shared" si="13"/>
        <v>156.06666666666669</v>
      </c>
      <c r="AH254" s="6">
        <f t="shared" si="14"/>
        <v>150.93333333333334</v>
      </c>
      <c r="AI254" s="6">
        <f t="shared" si="15"/>
        <v>150.5</v>
      </c>
      <c r="AJ254" s="6">
        <f>IFERROR(AVERAGE(Main[[#This Row],[Health]],Main[[#This Row],[Personal care and effects]]),"NA")</f>
        <v>149.80000000000001</v>
      </c>
    </row>
    <row r="255" spans="1:36" ht="13.2" x14ac:dyDescent="0.25">
      <c r="A255" s="1" t="s">
        <v>39</v>
      </c>
      <c r="B255" s="1">
        <v>2020</v>
      </c>
      <c r="C255" s="1" t="s">
        <v>41</v>
      </c>
      <c r="D255" s="8">
        <f>DATEVALUE(Main[[#This Row],[Month]]&amp;Main[[#This Row],[Year]])</f>
        <v>43862</v>
      </c>
      <c r="E255" s="1">
        <v>146.19999999999999</v>
      </c>
      <c r="F255" s="1">
        <v>167.6</v>
      </c>
      <c r="G255" s="1">
        <v>153.1</v>
      </c>
      <c r="H255" s="1">
        <v>150.69999999999999</v>
      </c>
      <c r="I255" s="1">
        <v>127.4</v>
      </c>
      <c r="J255" s="1">
        <v>143.1</v>
      </c>
      <c r="K255" s="1">
        <v>181.7</v>
      </c>
      <c r="L255" s="1">
        <v>139.6</v>
      </c>
      <c r="M255" s="1">
        <v>114.6</v>
      </c>
      <c r="N255" s="1">
        <v>150.4</v>
      </c>
      <c r="O255" s="1">
        <v>131.5</v>
      </c>
      <c r="P255" s="1">
        <v>159</v>
      </c>
      <c r="Q255" s="1">
        <v>151.69999999999999</v>
      </c>
      <c r="R255" s="1">
        <v>172</v>
      </c>
      <c r="S255" s="1">
        <v>147.30000000000001</v>
      </c>
      <c r="T255" s="1">
        <v>133.5</v>
      </c>
      <c r="U255" s="1">
        <v>145.19999999999999</v>
      </c>
      <c r="V255" s="1">
        <v>154.80000000000001</v>
      </c>
      <c r="W255" s="1">
        <v>138.9</v>
      </c>
      <c r="X255" s="1">
        <v>140.4</v>
      </c>
      <c r="Y255" s="1">
        <v>144.4</v>
      </c>
      <c r="Z255" s="1">
        <v>125.2</v>
      </c>
      <c r="AA255" s="1">
        <v>137.69999999999999</v>
      </c>
      <c r="AB255" s="1">
        <v>152.19999999999999</v>
      </c>
      <c r="AC255" s="1">
        <v>143.5</v>
      </c>
      <c r="AD255" s="1">
        <v>138.4</v>
      </c>
      <c r="AE255" s="1">
        <v>147.69999999999999</v>
      </c>
      <c r="AF255" s="6">
        <f t="shared" si="12"/>
        <v>147.43076923076922</v>
      </c>
      <c r="AG255" s="6">
        <f t="shared" si="13"/>
        <v>149.36666666666667</v>
      </c>
      <c r="AH255" s="6">
        <f t="shared" si="14"/>
        <v>142</v>
      </c>
      <c r="AI255" s="6">
        <f t="shared" si="15"/>
        <v>142.30000000000001</v>
      </c>
      <c r="AJ255" s="6">
        <f>IFERROR(AVERAGE(Main[[#This Row],[Health]],Main[[#This Row],[Personal care and effects]]),"NA")</f>
        <v>143.94999999999999</v>
      </c>
    </row>
    <row r="256" spans="1:36" ht="13.2" x14ac:dyDescent="0.25">
      <c r="A256" s="1" t="s">
        <v>40</v>
      </c>
      <c r="B256" s="1">
        <v>2020</v>
      </c>
      <c r="C256" s="1" t="s">
        <v>41</v>
      </c>
      <c r="D256" s="8">
        <f>DATEVALUE(Main[[#This Row],[Month]]&amp;Main[[#This Row],[Year]])</f>
        <v>43862</v>
      </c>
      <c r="E256" s="1">
        <v>144.80000000000001</v>
      </c>
      <c r="F256" s="1">
        <v>167.5</v>
      </c>
      <c r="G256" s="1">
        <v>151.80000000000001</v>
      </c>
      <c r="H256" s="1">
        <v>150.80000000000001</v>
      </c>
      <c r="I256" s="1">
        <v>131.4</v>
      </c>
      <c r="J256" s="1">
        <v>141.80000000000001</v>
      </c>
      <c r="K256" s="1">
        <v>170.7</v>
      </c>
      <c r="L256" s="1">
        <v>141.1</v>
      </c>
      <c r="M256" s="1">
        <v>113.6</v>
      </c>
      <c r="N256" s="1">
        <v>152</v>
      </c>
      <c r="O256" s="1">
        <v>136.5</v>
      </c>
      <c r="P256" s="1">
        <v>159.1</v>
      </c>
      <c r="Q256" s="1">
        <v>150.5</v>
      </c>
      <c r="R256" s="1">
        <v>170.1</v>
      </c>
      <c r="S256" s="1">
        <v>150.80000000000001</v>
      </c>
      <c r="T256" s="1">
        <v>141.69999999999999</v>
      </c>
      <c r="U256" s="1">
        <v>149.5</v>
      </c>
      <c r="V256" s="1">
        <v>154.80000000000001</v>
      </c>
      <c r="W256" s="1">
        <v>147.19999999999999</v>
      </c>
      <c r="X256" s="1">
        <v>146.4</v>
      </c>
      <c r="Y256" s="1">
        <v>151.69999999999999</v>
      </c>
      <c r="Z256" s="1">
        <v>130.30000000000001</v>
      </c>
      <c r="AA256" s="1">
        <v>143.19999999999999</v>
      </c>
      <c r="AB256" s="1">
        <v>156.19999999999999</v>
      </c>
      <c r="AC256" s="1">
        <v>143.4</v>
      </c>
      <c r="AD256" s="1">
        <v>143.6</v>
      </c>
      <c r="AE256" s="1">
        <v>149.1</v>
      </c>
      <c r="AF256" s="6">
        <f t="shared" si="12"/>
        <v>147.04615384615383</v>
      </c>
      <c r="AG256" s="6">
        <f t="shared" si="13"/>
        <v>152.29999999999998</v>
      </c>
      <c r="AH256" s="6">
        <f t="shared" si="14"/>
        <v>147.33333333333334</v>
      </c>
      <c r="AI256" s="6">
        <f t="shared" si="15"/>
        <v>146.98000000000002</v>
      </c>
      <c r="AJ256" s="6">
        <f>IFERROR(AVERAGE(Main[[#This Row],[Health]],Main[[#This Row],[Personal care and effects]]),"NA")</f>
        <v>147.55000000000001</v>
      </c>
    </row>
    <row r="257" spans="1:36" ht="13.2" x14ac:dyDescent="0.25">
      <c r="A257" s="1" t="s">
        <v>36</v>
      </c>
      <c r="B257" s="1">
        <v>2020</v>
      </c>
      <c r="C257" s="1" t="s">
        <v>42</v>
      </c>
      <c r="D257" s="8">
        <f>DATEVALUE(Main[[#This Row],[Month]]&amp;Main[[#This Row],[Year]])</f>
        <v>43891</v>
      </c>
      <c r="E257" s="1">
        <v>144.4</v>
      </c>
      <c r="F257" s="1">
        <v>166.8</v>
      </c>
      <c r="G257" s="1">
        <v>147.6</v>
      </c>
      <c r="H257" s="1">
        <v>151.69999999999999</v>
      </c>
      <c r="I257" s="1">
        <v>133.30000000000001</v>
      </c>
      <c r="J257" s="1">
        <v>141.80000000000001</v>
      </c>
      <c r="K257" s="1">
        <v>152.30000000000001</v>
      </c>
      <c r="L257" s="1">
        <v>141.80000000000001</v>
      </c>
      <c r="M257" s="1">
        <v>112.6</v>
      </c>
      <c r="N257" s="1">
        <v>154</v>
      </c>
      <c r="O257" s="1">
        <v>140.1</v>
      </c>
      <c r="P257" s="1">
        <v>160</v>
      </c>
      <c r="Q257" s="1">
        <v>148.19999999999999</v>
      </c>
      <c r="R257" s="1">
        <v>170.5</v>
      </c>
      <c r="S257" s="1">
        <v>153.4</v>
      </c>
      <c r="T257" s="1">
        <v>147.6</v>
      </c>
      <c r="U257" s="1">
        <v>152.5</v>
      </c>
      <c r="V257" s="1" t="s">
        <v>38</v>
      </c>
      <c r="W257" s="1">
        <v>153.4</v>
      </c>
      <c r="X257" s="1">
        <v>151.5</v>
      </c>
      <c r="Y257" s="1">
        <v>156.69999999999999</v>
      </c>
      <c r="Z257" s="1">
        <v>135.80000000000001</v>
      </c>
      <c r="AA257" s="1">
        <v>151.19999999999999</v>
      </c>
      <c r="AB257" s="1">
        <v>161.19999999999999</v>
      </c>
      <c r="AC257" s="1">
        <v>145.1</v>
      </c>
      <c r="AD257" s="1">
        <v>148.6</v>
      </c>
      <c r="AE257" s="1">
        <v>149.80000000000001</v>
      </c>
      <c r="AF257" s="6">
        <f t="shared" si="12"/>
        <v>145.73846153846151</v>
      </c>
      <c r="AG257" s="6">
        <f t="shared" si="13"/>
        <v>156.76666666666665</v>
      </c>
      <c r="AH257" s="6">
        <f t="shared" si="14"/>
        <v>151.16666666666666</v>
      </c>
      <c r="AI257" s="6">
        <f t="shared" si="15"/>
        <v>150.47499999999999</v>
      </c>
      <c r="AJ257" s="6">
        <f>IFERROR(AVERAGE(Main[[#This Row],[Health]],Main[[#This Row],[Personal care and effects]]),"NA")</f>
        <v>150.89999999999998</v>
      </c>
    </row>
    <row r="258" spans="1:36" ht="13.2" x14ac:dyDescent="0.25">
      <c r="A258" s="1" t="s">
        <v>39</v>
      </c>
      <c r="B258" s="1">
        <v>2020</v>
      </c>
      <c r="C258" s="1" t="s">
        <v>42</v>
      </c>
      <c r="D258" s="8">
        <f>DATEVALUE(Main[[#This Row],[Month]]&amp;Main[[#This Row],[Year]])</f>
        <v>43891</v>
      </c>
      <c r="E258" s="1">
        <v>146.5</v>
      </c>
      <c r="F258" s="1">
        <v>167.5</v>
      </c>
      <c r="G258" s="1">
        <v>148.9</v>
      </c>
      <c r="H258" s="1">
        <v>151.1</v>
      </c>
      <c r="I258" s="1">
        <v>127.5</v>
      </c>
      <c r="J258" s="1">
        <v>143.30000000000001</v>
      </c>
      <c r="K258" s="1">
        <v>167</v>
      </c>
      <c r="L258" s="1">
        <v>139.69999999999999</v>
      </c>
      <c r="M258" s="1">
        <v>114.4</v>
      </c>
      <c r="N258" s="1">
        <v>151.5</v>
      </c>
      <c r="O258" s="1">
        <v>131.9</v>
      </c>
      <c r="P258" s="1">
        <v>159.1</v>
      </c>
      <c r="Q258" s="1">
        <v>150.1</v>
      </c>
      <c r="R258" s="1">
        <v>173.3</v>
      </c>
      <c r="S258" s="1">
        <v>147.69999999999999</v>
      </c>
      <c r="T258" s="1">
        <v>133.80000000000001</v>
      </c>
      <c r="U258" s="1">
        <v>145.6</v>
      </c>
      <c r="V258" s="1">
        <v>154.5</v>
      </c>
      <c r="W258" s="1">
        <v>141.4</v>
      </c>
      <c r="X258" s="1">
        <v>140.80000000000001</v>
      </c>
      <c r="Y258" s="1">
        <v>145</v>
      </c>
      <c r="Z258" s="1">
        <v>124.6</v>
      </c>
      <c r="AA258" s="1">
        <v>137.9</v>
      </c>
      <c r="AB258" s="1">
        <v>152.5</v>
      </c>
      <c r="AC258" s="1">
        <v>145.30000000000001</v>
      </c>
      <c r="AD258" s="1">
        <v>138.69999999999999</v>
      </c>
      <c r="AE258" s="1">
        <v>147.30000000000001</v>
      </c>
      <c r="AF258" s="6">
        <f t="shared" ref="AF258:AF321" si="16">IFERROR(AVERAGE(E258:Q258),"NA")</f>
        <v>146.03846153846155</v>
      </c>
      <c r="AG258" s="6">
        <f t="shared" ref="AG258:AG321" si="17">IFERROR(AVERAGE(R258,AA258,AD258),"NA")</f>
        <v>149.96666666666667</v>
      </c>
      <c r="AH258" s="6">
        <f t="shared" ref="AH258:AH321" si="18">IFERROR(AVERAGE(S258:U258),"NA")</f>
        <v>142.36666666666667</v>
      </c>
      <c r="AI258" s="6">
        <f t="shared" ref="AI258:AI321" si="19">IFERROR(AVERAGE(V258,W258,X258,Z258,AB258),"NA")</f>
        <v>142.76</v>
      </c>
      <c r="AJ258" s="6">
        <f>IFERROR(AVERAGE(Main[[#This Row],[Health]],Main[[#This Row],[Personal care and effects]]),"NA")</f>
        <v>145.15</v>
      </c>
    </row>
    <row r="259" spans="1:36" ht="13.2" x14ac:dyDescent="0.25">
      <c r="A259" s="1" t="s">
        <v>40</v>
      </c>
      <c r="B259" s="1">
        <v>2020</v>
      </c>
      <c r="C259" s="1" t="s">
        <v>42</v>
      </c>
      <c r="D259" s="8">
        <f>DATEVALUE(Main[[#This Row],[Month]]&amp;Main[[#This Row],[Year]])</f>
        <v>43891</v>
      </c>
      <c r="E259" s="1">
        <v>145.1</v>
      </c>
      <c r="F259" s="1">
        <v>167</v>
      </c>
      <c r="G259" s="1">
        <v>148.1</v>
      </c>
      <c r="H259" s="1">
        <v>151.5</v>
      </c>
      <c r="I259" s="1">
        <v>131.19999999999999</v>
      </c>
      <c r="J259" s="1">
        <v>142.5</v>
      </c>
      <c r="K259" s="1">
        <v>157.30000000000001</v>
      </c>
      <c r="L259" s="1">
        <v>141.1</v>
      </c>
      <c r="M259" s="1">
        <v>113.2</v>
      </c>
      <c r="N259" s="1">
        <v>153.19999999999999</v>
      </c>
      <c r="O259" s="1">
        <v>136.69999999999999</v>
      </c>
      <c r="P259" s="1">
        <v>159.6</v>
      </c>
      <c r="Q259" s="1">
        <v>148.9</v>
      </c>
      <c r="R259" s="1">
        <v>171.2</v>
      </c>
      <c r="S259" s="1">
        <v>151.19999999999999</v>
      </c>
      <c r="T259" s="1">
        <v>141.9</v>
      </c>
      <c r="U259" s="1">
        <v>149.80000000000001</v>
      </c>
      <c r="V259" s="1">
        <v>154.5</v>
      </c>
      <c r="W259" s="1">
        <v>148.9</v>
      </c>
      <c r="X259" s="1">
        <v>146.4</v>
      </c>
      <c r="Y259" s="1">
        <v>152.30000000000001</v>
      </c>
      <c r="Z259" s="1">
        <v>129.9</v>
      </c>
      <c r="AA259" s="1">
        <v>143.69999999999999</v>
      </c>
      <c r="AB259" s="1">
        <v>156.1</v>
      </c>
      <c r="AC259" s="1">
        <v>145.19999999999999</v>
      </c>
      <c r="AD259" s="1">
        <v>143.80000000000001</v>
      </c>
      <c r="AE259" s="1">
        <v>148.6</v>
      </c>
      <c r="AF259" s="6">
        <f t="shared" si="16"/>
        <v>145.80000000000001</v>
      </c>
      <c r="AG259" s="6">
        <f t="shared" si="17"/>
        <v>152.9</v>
      </c>
      <c r="AH259" s="6">
        <f t="shared" si="18"/>
        <v>147.63333333333335</v>
      </c>
      <c r="AI259" s="6">
        <f t="shared" si="19"/>
        <v>147.16</v>
      </c>
      <c r="AJ259" s="6">
        <f>IFERROR(AVERAGE(Main[[#This Row],[Health]],Main[[#This Row],[Personal care and effects]]),"NA")</f>
        <v>148.75</v>
      </c>
    </row>
    <row r="260" spans="1:36" ht="13.2" x14ac:dyDescent="0.25">
      <c r="A260" s="1" t="s">
        <v>36</v>
      </c>
      <c r="B260" s="1">
        <v>2020</v>
      </c>
      <c r="C260" s="1" t="s">
        <v>43</v>
      </c>
      <c r="D260" s="8">
        <f>DATEVALUE(Main[[#This Row],[Month]]&amp;Main[[#This Row],[Year]])</f>
        <v>43922</v>
      </c>
      <c r="E260" s="1">
        <v>147.19999999999999</v>
      </c>
      <c r="F260" s="1" t="s">
        <v>38</v>
      </c>
      <c r="G260" s="1">
        <v>146.9</v>
      </c>
      <c r="H260" s="1">
        <v>155.6</v>
      </c>
      <c r="I260" s="1">
        <v>137.1</v>
      </c>
      <c r="J260" s="1">
        <v>147.30000000000001</v>
      </c>
      <c r="K260" s="1">
        <v>162.69999999999999</v>
      </c>
      <c r="L260" s="1">
        <v>150.19999999999999</v>
      </c>
      <c r="M260" s="1">
        <v>119.8</v>
      </c>
      <c r="N260" s="1">
        <v>158.69999999999999</v>
      </c>
      <c r="O260" s="1">
        <v>139.19999999999999</v>
      </c>
      <c r="P260" s="1" t="s">
        <v>38</v>
      </c>
      <c r="Q260" s="1">
        <v>150.1</v>
      </c>
      <c r="R260" s="1" t="s">
        <v>38</v>
      </c>
      <c r="S260" s="1" t="s">
        <v>38</v>
      </c>
      <c r="T260" s="1" t="s">
        <v>38</v>
      </c>
      <c r="U260" s="1" t="s">
        <v>38</v>
      </c>
      <c r="V260" s="1" t="s">
        <v>38</v>
      </c>
      <c r="W260" s="1">
        <v>148.4</v>
      </c>
      <c r="X260" s="1" t="s">
        <v>38</v>
      </c>
      <c r="Y260" s="1">
        <v>154.30000000000001</v>
      </c>
      <c r="Z260" s="1" t="s">
        <v>38</v>
      </c>
      <c r="AA260" s="1" t="s">
        <v>38</v>
      </c>
      <c r="AB260" s="1" t="s">
        <v>38</v>
      </c>
      <c r="AC260" s="1" t="s">
        <v>38</v>
      </c>
      <c r="AD260" s="1" t="s">
        <v>38</v>
      </c>
      <c r="AE260" s="1" t="s">
        <v>38</v>
      </c>
      <c r="AF260" s="6">
        <f t="shared" si="16"/>
        <v>146.80000000000001</v>
      </c>
      <c r="AG260" s="6" t="str">
        <f t="shared" si="17"/>
        <v>NA</v>
      </c>
      <c r="AH260" s="6" t="str">
        <f t="shared" si="18"/>
        <v>NA</v>
      </c>
      <c r="AI260" s="6">
        <f t="shared" si="19"/>
        <v>148.4</v>
      </c>
      <c r="AJ260" s="6">
        <f>IFERROR(AVERAGE(Main[[#This Row],[Health]],Main[[#This Row],[Personal care and effects]]),"NA")</f>
        <v>154.30000000000001</v>
      </c>
    </row>
    <row r="261" spans="1:36" ht="13.2" x14ac:dyDescent="0.25">
      <c r="A261" s="1" t="s">
        <v>39</v>
      </c>
      <c r="B261" s="1">
        <v>2020</v>
      </c>
      <c r="C261" s="1" t="s">
        <v>43</v>
      </c>
      <c r="D261" s="8">
        <f>DATEVALUE(Main[[#This Row],[Month]]&amp;Main[[#This Row],[Year]])</f>
        <v>43922</v>
      </c>
      <c r="E261" s="1">
        <v>151.80000000000001</v>
      </c>
      <c r="F261" s="1" t="s">
        <v>38</v>
      </c>
      <c r="G261" s="1">
        <v>151.9</v>
      </c>
      <c r="H261" s="1">
        <v>155.5</v>
      </c>
      <c r="I261" s="1">
        <v>131.6</v>
      </c>
      <c r="J261" s="1">
        <v>152.9</v>
      </c>
      <c r="K261" s="1">
        <v>180</v>
      </c>
      <c r="L261" s="1">
        <v>150.80000000000001</v>
      </c>
      <c r="M261" s="1">
        <v>121.2</v>
      </c>
      <c r="N261" s="1">
        <v>154</v>
      </c>
      <c r="O261" s="1">
        <v>133.5</v>
      </c>
      <c r="P261" s="1" t="s">
        <v>38</v>
      </c>
      <c r="Q261" s="1">
        <v>153.5</v>
      </c>
      <c r="R261" s="1" t="s">
        <v>38</v>
      </c>
      <c r="S261" s="1" t="s">
        <v>38</v>
      </c>
      <c r="T261" s="1" t="s">
        <v>38</v>
      </c>
      <c r="U261" s="1" t="s">
        <v>38</v>
      </c>
      <c r="V261" s="1">
        <v>155.6</v>
      </c>
      <c r="W261" s="1">
        <v>137.1</v>
      </c>
      <c r="X261" s="1" t="s">
        <v>38</v>
      </c>
      <c r="Y261" s="1">
        <v>144.80000000000001</v>
      </c>
      <c r="Z261" s="1" t="s">
        <v>38</v>
      </c>
      <c r="AA261" s="1" t="s">
        <v>38</v>
      </c>
      <c r="AB261" s="1" t="s">
        <v>38</v>
      </c>
      <c r="AC261" s="1" t="s">
        <v>38</v>
      </c>
      <c r="AD261" s="1" t="s">
        <v>38</v>
      </c>
      <c r="AE261" s="1" t="s">
        <v>38</v>
      </c>
      <c r="AF261" s="6">
        <f t="shared" si="16"/>
        <v>148.79090909090908</v>
      </c>
      <c r="AG261" s="6" t="str">
        <f t="shared" si="17"/>
        <v>NA</v>
      </c>
      <c r="AH261" s="6" t="str">
        <f t="shared" si="18"/>
        <v>NA</v>
      </c>
      <c r="AI261" s="6">
        <f t="shared" si="19"/>
        <v>146.35</v>
      </c>
      <c r="AJ261" s="6">
        <f>IFERROR(AVERAGE(Main[[#This Row],[Health]],Main[[#This Row],[Personal care and effects]]),"NA")</f>
        <v>144.80000000000001</v>
      </c>
    </row>
    <row r="262" spans="1:36" ht="13.2" x14ac:dyDescent="0.25">
      <c r="A262" s="1" t="s">
        <v>40</v>
      </c>
      <c r="B262" s="1">
        <v>2020</v>
      </c>
      <c r="C262" s="1" t="s">
        <v>43</v>
      </c>
      <c r="D262" s="8">
        <f>DATEVALUE(Main[[#This Row],[Month]]&amp;Main[[#This Row],[Year]])</f>
        <v>43922</v>
      </c>
      <c r="E262" s="1">
        <v>148.69999999999999</v>
      </c>
      <c r="F262" s="1" t="s">
        <v>38</v>
      </c>
      <c r="G262" s="1">
        <v>148.80000000000001</v>
      </c>
      <c r="H262" s="1">
        <v>155.6</v>
      </c>
      <c r="I262" s="1">
        <v>135.1</v>
      </c>
      <c r="J262" s="1">
        <v>149.9</v>
      </c>
      <c r="K262" s="1">
        <v>168.6</v>
      </c>
      <c r="L262" s="1">
        <v>150.4</v>
      </c>
      <c r="M262" s="1">
        <v>120.3</v>
      </c>
      <c r="N262" s="1">
        <v>157.1</v>
      </c>
      <c r="O262" s="1">
        <v>136.80000000000001</v>
      </c>
      <c r="P262" s="1" t="s">
        <v>38</v>
      </c>
      <c r="Q262" s="1">
        <v>151.4</v>
      </c>
      <c r="R262" s="1" t="s">
        <v>38</v>
      </c>
      <c r="S262" s="1" t="s">
        <v>38</v>
      </c>
      <c r="T262" s="1" t="s">
        <v>38</v>
      </c>
      <c r="U262" s="1" t="s">
        <v>38</v>
      </c>
      <c r="V262" s="1">
        <v>155.6</v>
      </c>
      <c r="W262" s="1">
        <v>144.1</v>
      </c>
      <c r="X262" s="1" t="s">
        <v>38</v>
      </c>
      <c r="Y262" s="1">
        <v>150.69999999999999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38</v>
      </c>
      <c r="AF262" s="6">
        <f t="shared" si="16"/>
        <v>147.51818181818183</v>
      </c>
      <c r="AG262" s="6" t="str">
        <f t="shared" si="17"/>
        <v>NA</v>
      </c>
      <c r="AH262" s="6" t="str">
        <f t="shared" si="18"/>
        <v>NA</v>
      </c>
      <c r="AI262" s="6">
        <f t="shared" si="19"/>
        <v>149.85</v>
      </c>
      <c r="AJ262" s="6">
        <f>IFERROR(AVERAGE(Main[[#This Row],[Health]],Main[[#This Row],[Personal care and effects]]),"NA")</f>
        <v>150.69999999999999</v>
      </c>
    </row>
    <row r="263" spans="1:36" ht="13.2" x14ac:dyDescent="0.25">
      <c r="A263" s="1" t="s">
        <v>36</v>
      </c>
      <c r="B263" s="1">
        <v>2020</v>
      </c>
      <c r="C263" s="1" t="s">
        <v>44</v>
      </c>
      <c r="D263" s="8">
        <f>DATEVALUE(Main[[#This Row],[Month]]&amp;Main[[#This Row],[Year]])</f>
        <v>43952</v>
      </c>
      <c r="E263" s="1" t="s">
        <v>38</v>
      </c>
      <c r="F263" s="1" t="s">
        <v>38</v>
      </c>
      <c r="G263" s="1" t="s">
        <v>38</v>
      </c>
      <c r="H263" s="1" t="s">
        <v>38</v>
      </c>
      <c r="I263" s="1" t="s">
        <v>38</v>
      </c>
      <c r="J263" s="1" t="s">
        <v>38</v>
      </c>
      <c r="K263" s="1" t="s">
        <v>38</v>
      </c>
      <c r="L263" s="1" t="s">
        <v>38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38</v>
      </c>
      <c r="V263" s="1" t="s">
        <v>38</v>
      </c>
      <c r="W263" s="1" t="s">
        <v>38</v>
      </c>
      <c r="X263" s="1" t="s">
        <v>38</v>
      </c>
      <c r="Y263" s="1" t="s">
        <v>38</v>
      </c>
      <c r="Z263" s="1" t="s">
        <v>38</v>
      </c>
      <c r="AA263" s="1" t="s">
        <v>38</v>
      </c>
      <c r="AB263" s="1" t="s">
        <v>38</v>
      </c>
      <c r="AC263" s="1" t="s">
        <v>38</v>
      </c>
      <c r="AD263" s="1" t="s">
        <v>38</v>
      </c>
      <c r="AE263" s="1" t="s">
        <v>38</v>
      </c>
      <c r="AF263" s="6" t="str">
        <f t="shared" si="16"/>
        <v>NA</v>
      </c>
      <c r="AG263" s="6" t="str">
        <f t="shared" si="17"/>
        <v>NA</v>
      </c>
      <c r="AH263" s="6" t="str">
        <f t="shared" si="18"/>
        <v>NA</v>
      </c>
      <c r="AI263" s="6" t="str">
        <f t="shared" si="19"/>
        <v>NA</v>
      </c>
      <c r="AJ263" s="6" t="str">
        <f>IFERROR(AVERAGE(Main[[#This Row],[Health]],Main[[#This Row],[Personal care and effects]]),"NA")</f>
        <v>NA</v>
      </c>
    </row>
    <row r="264" spans="1:36" ht="13.2" x14ac:dyDescent="0.25">
      <c r="A264" s="1" t="s">
        <v>39</v>
      </c>
      <c r="B264" s="1">
        <v>2020</v>
      </c>
      <c r="C264" s="1" t="s">
        <v>44</v>
      </c>
      <c r="D264" s="8">
        <f>DATEVALUE(Main[[#This Row],[Month]]&amp;Main[[#This Row],[Year]])</f>
        <v>43952</v>
      </c>
      <c r="E264" s="1" t="s">
        <v>38</v>
      </c>
      <c r="F264" s="1" t="s">
        <v>38</v>
      </c>
      <c r="G264" s="1" t="s">
        <v>38</v>
      </c>
      <c r="H264" s="1" t="s">
        <v>38</v>
      </c>
      <c r="I264" s="1" t="s">
        <v>38</v>
      </c>
      <c r="J264" s="1" t="s">
        <v>38</v>
      </c>
      <c r="K264" s="1" t="s">
        <v>38</v>
      </c>
      <c r="L264" s="1" t="s">
        <v>38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38</v>
      </c>
      <c r="V264" s="1" t="s">
        <v>38</v>
      </c>
      <c r="W264" s="1" t="s">
        <v>38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6" t="str">
        <f t="shared" si="16"/>
        <v>NA</v>
      </c>
      <c r="AG264" s="6" t="str">
        <f t="shared" si="17"/>
        <v>NA</v>
      </c>
      <c r="AH264" s="6" t="str">
        <f t="shared" si="18"/>
        <v>NA</v>
      </c>
      <c r="AI264" s="6" t="str">
        <f t="shared" si="19"/>
        <v>NA</v>
      </c>
      <c r="AJ264" s="6" t="str">
        <f>IFERROR(AVERAGE(Main[[#This Row],[Health]],Main[[#This Row],[Personal care and effects]]),"NA")</f>
        <v>NA</v>
      </c>
    </row>
    <row r="265" spans="1:36" ht="13.2" x14ac:dyDescent="0.25">
      <c r="A265" s="1" t="s">
        <v>40</v>
      </c>
      <c r="B265" s="1">
        <v>2020</v>
      </c>
      <c r="C265" s="1" t="s">
        <v>44</v>
      </c>
      <c r="D265" s="8">
        <f>DATEVALUE(Main[[#This Row],[Month]]&amp;Main[[#This Row],[Year]])</f>
        <v>43952</v>
      </c>
      <c r="E265" s="1" t="s">
        <v>38</v>
      </c>
      <c r="F265" s="1" t="s">
        <v>38</v>
      </c>
      <c r="G265" s="1" t="s">
        <v>38</v>
      </c>
      <c r="H265" s="1" t="s">
        <v>38</v>
      </c>
      <c r="I265" s="1" t="s">
        <v>38</v>
      </c>
      <c r="J265" s="1" t="s">
        <v>38</v>
      </c>
      <c r="K265" s="1" t="s">
        <v>38</v>
      </c>
      <c r="L265" s="1" t="s">
        <v>38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38</v>
      </c>
      <c r="U265" s="1" t="s">
        <v>38</v>
      </c>
      <c r="V265" s="1" t="s">
        <v>38</v>
      </c>
      <c r="W265" s="1" t="s">
        <v>38</v>
      </c>
      <c r="X265" s="1" t="s">
        <v>38</v>
      </c>
      <c r="Y265" s="1" t="s">
        <v>38</v>
      </c>
      <c r="Z265" s="1" t="s">
        <v>38</v>
      </c>
      <c r="AA265" s="1" t="s">
        <v>38</v>
      </c>
      <c r="AB265" s="1" t="s">
        <v>38</v>
      </c>
      <c r="AC265" s="1" t="s">
        <v>38</v>
      </c>
      <c r="AD265" s="1" t="s">
        <v>38</v>
      </c>
      <c r="AE265" s="1" t="s">
        <v>38</v>
      </c>
      <c r="AF265" s="6" t="str">
        <f t="shared" si="16"/>
        <v>NA</v>
      </c>
      <c r="AG265" s="6" t="str">
        <f t="shared" si="17"/>
        <v>NA</v>
      </c>
      <c r="AH265" s="6" t="str">
        <f t="shared" si="18"/>
        <v>NA</v>
      </c>
      <c r="AI265" s="6" t="str">
        <f t="shared" si="19"/>
        <v>NA</v>
      </c>
      <c r="AJ265" s="6" t="str">
        <f>IFERROR(AVERAGE(Main[[#This Row],[Health]],Main[[#This Row],[Personal care and effects]]),"NA")</f>
        <v>NA</v>
      </c>
    </row>
    <row r="266" spans="1:36" ht="13.2" x14ac:dyDescent="0.25">
      <c r="A266" s="1" t="s">
        <v>36</v>
      </c>
      <c r="B266" s="1">
        <v>2020</v>
      </c>
      <c r="C266" s="1" t="s">
        <v>45</v>
      </c>
      <c r="D266" s="8">
        <f>DATEVALUE(Main[[#This Row],[Month]]&amp;Main[[#This Row],[Year]])</f>
        <v>43983</v>
      </c>
      <c r="E266" s="1">
        <v>148.19999999999999</v>
      </c>
      <c r="F266" s="1">
        <v>190.3</v>
      </c>
      <c r="G266" s="1">
        <v>149.4</v>
      </c>
      <c r="H266" s="1">
        <v>153.30000000000001</v>
      </c>
      <c r="I266" s="1">
        <v>138.19999999999999</v>
      </c>
      <c r="J266" s="1">
        <v>143.19999999999999</v>
      </c>
      <c r="K266" s="1">
        <v>148.9</v>
      </c>
      <c r="L266" s="1">
        <v>150.30000000000001</v>
      </c>
      <c r="M266" s="1">
        <v>113.2</v>
      </c>
      <c r="N266" s="1">
        <v>159.80000000000001</v>
      </c>
      <c r="O266" s="1">
        <v>142.1</v>
      </c>
      <c r="P266" s="1">
        <v>161.80000000000001</v>
      </c>
      <c r="Q266" s="1">
        <v>152.30000000000001</v>
      </c>
      <c r="R266" s="1">
        <v>182.4</v>
      </c>
      <c r="S266" s="1">
        <v>154.69999999999999</v>
      </c>
      <c r="T266" s="1">
        <v>150</v>
      </c>
      <c r="U266" s="1">
        <v>154.1</v>
      </c>
      <c r="V266" s="1" t="s">
        <v>38</v>
      </c>
      <c r="W266" s="1">
        <v>144.9</v>
      </c>
      <c r="X266" s="1">
        <v>151.69999999999999</v>
      </c>
      <c r="Y266" s="1">
        <v>158.19999999999999</v>
      </c>
      <c r="Z266" s="1">
        <v>141.4</v>
      </c>
      <c r="AA266" s="1">
        <v>153.19999999999999</v>
      </c>
      <c r="AB266" s="1">
        <v>161.80000000000001</v>
      </c>
      <c r="AC266" s="1">
        <v>151.19999999999999</v>
      </c>
      <c r="AD266" s="1">
        <v>151.69999999999999</v>
      </c>
      <c r="AE266" s="1">
        <v>152.69999999999999</v>
      </c>
      <c r="AF266" s="6">
        <f t="shared" si="16"/>
        <v>150.07692307692307</v>
      </c>
      <c r="AG266" s="6">
        <f t="shared" si="17"/>
        <v>162.43333333333334</v>
      </c>
      <c r="AH266" s="6">
        <f t="shared" si="18"/>
        <v>152.93333333333331</v>
      </c>
      <c r="AI266" s="6">
        <f t="shared" si="19"/>
        <v>149.94999999999999</v>
      </c>
      <c r="AJ266" s="6">
        <f>IFERROR(AVERAGE(Main[[#This Row],[Health]],Main[[#This Row],[Personal care and effects]]),"NA")</f>
        <v>154.69999999999999</v>
      </c>
    </row>
    <row r="267" spans="1:36" ht="13.2" x14ac:dyDescent="0.25">
      <c r="A267" s="1" t="s">
        <v>39</v>
      </c>
      <c r="B267" s="1">
        <v>2020</v>
      </c>
      <c r="C267" s="1" t="s">
        <v>45</v>
      </c>
      <c r="D267" s="8">
        <f>DATEVALUE(Main[[#This Row],[Month]]&amp;Main[[#This Row],[Year]])</f>
        <v>43983</v>
      </c>
      <c r="E267" s="1">
        <v>152.69999999999999</v>
      </c>
      <c r="F267" s="1">
        <v>197</v>
      </c>
      <c r="G267" s="1">
        <v>154.6</v>
      </c>
      <c r="H267" s="1">
        <v>153.4</v>
      </c>
      <c r="I267" s="1">
        <v>132.9</v>
      </c>
      <c r="J267" s="1">
        <v>151.80000000000001</v>
      </c>
      <c r="K267" s="1">
        <v>171.2</v>
      </c>
      <c r="L267" s="1">
        <v>152</v>
      </c>
      <c r="M267" s="1">
        <v>116.3</v>
      </c>
      <c r="N267" s="1">
        <v>158.80000000000001</v>
      </c>
      <c r="O267" s="1">
        <v>135.6</v>
      </c>
      <c r="P267" s="1">
        <v>161.69999999999999</v>
      </c>
      <c r="Q267" s="1">
        <v>157</v>
      </c>
      <c r="R267" s="1">
        <v>186.7</v>
      </c>
      <c r="S267" s="1">
        <v>149.1</v>
      </c>
      <c r="T267" s="1">
        <v>136.6</v>
      </c>
      <c r="U267" s="1">
        <v>147.19999999999999</v>
      </c>
      <c r="V267" s="1">
        <v>154.69999999999999</v>
      </c>
      <c r="W267" s="1">
        <v>137.1</v>
      </c>
      <c r="X267" s="1">
        <v>140.4</v>
      </c>
      <c r="Y267" s="1">
        <v>148.1</v>
      </c>
      <c r="Z267" s="1">
        <v>129.30000000000001</v>
      </c>
      <c r="AA267" s="1">
        <v>144.5</v>
      </c>
      <c r="AB267" s="1">
        <v>152.5</v>
      </c>
      <c r="AC267" s="1">
        <v>152.19999999999999</v>
      </c>
      <c r="AD267" s="1">
        <v>142</v>
      </c>
      <c r="AE267" s="1">
        <v>150.80000000000001</v>
      </c>
      <c r="AF267" s="6">
        <f t="shared" si="16"/>
        <v>153.46153846153845</v>
      </c>
      <c r="AG267" s="6">
        <f t="shared" si="17"/>
        <v>157.73333333333332</v>
      </c>
      <c r="AH267" s="6">
        <f t="shared" si="18"/>
        <v>144.29999999999998</v>
      </c>
      <c r="AI267" s="6">
        <f t="shared" si="19"/>
        <v>142.80000000000001</v>
      </c>
      <c r="AJ267" s="6">
        <f>IFERROR(AVERAGE(Main[[#This Row],[Health]],Main[[#This Row],[Personal care and effects]]),"NA")</f>
        <v>150.14999999999998</v>
      </c>
    </row>
    <row r="268" spans="1:36" ht="13.2" x14ac:dyDescent="0.25">
      <c r="A268" s="1" t="s">
        <v>40</v>
      </c>
      <c r="B268" s="1">
        <v>2020</v>
      </c>
      <c r="C268" s="1" t="s">
        <v>45</v>
      </c>
      <c r="D268" s="8">
        <f>DATEVALUE(Main[[#This Row],[Month]]&amp;Main[[#This Row],[Year]])</f>
        <v>43983</v>
      </c>
      <c r="E268" s="1">
        <v>149.6</v>
      </c>
      <c r="F268" s="1">
        <v>192.7</v>
      </c>
      <c r="G268" s="1">
        <v>151.4</v>
      </c>
      <c r="H268" s="1">
        <v>153.30000000000001</v>
      </c>
      <c r="I268" s="1">
        <v>136.30000000000001</v>
      </c>
      <c r="J268" s="1">
        <v>147.19999999999999</v>
      </c>
      <c r="K268" s="1">
        <v>156.5</v>
      </c>
      <c r="L268" s="1">
        <v>150.9</v>
      </c>
      <c r="M268" s="1">
        <v>114.2</v>
      </c>
      <c r="N268" s="1">
        <v>159.5</v>
      </c>
      <c r="O268" s="1">
        <v>139.4</v>
      </c>
      <c r="P268" s="1">
        <v>161.80000000000001</v>
      </c>
      <c r="Q268" s="1">
        <v>154</v>
      </c>
      <c r="R268" s="1">
        <v>183.5</v>
      </c>
      <c r="S268" s="1">
        <v>152.5</v>
      </c>
      <c r="T268" s="1">
        <v>144.4</v>
      </c>
      <c r="U268" s="1">
        <v>151.4</v>
      </c>
      <c r="V268" s="1">
        <v>154.69999999999999</v>
      </c>
      <c r="W268" s="1">
        <v>141.9</v>
      </c>
      <c r="X268" s="1">
        <v>146.4</v>
      </c>
      <c r="Y268" s="1">
        <v>154.4</v>
      </c>
      <c r="Z268" s="1">
        <v>135</v>
      </c>
      <c r="AA268" s="1">
        <v>148.30000000000001</v>
      </c>
      <c r="AB268" s="1">
        <v>156.4</v>
      </c>
      <c r="AC268" s="1">
        <v>151.6</v>
      </c>
      <c r="AD268" s="1">
        <v>147</v>
      </c>
      <c r="AE268" s="1">
        <v>151.80000000000001</v>
      </c>
      <c r="AF268" s="6">
        <f t="shared" si="16"/>
        <v>151.2923076923077</v>
      </c>
      <c r="AG268" s="6">
        <f t="shared" si="17"/>
        <v>159.6</v>
      </c>
      <c r="AH268" s="6">
        <f t="shared" si="18"/>
        <v>149.43333333333331</v>
      </c>
      <c r="AI268" s="6">
        <f t="shared" si="19"/>
        <v>146.88</v>
      </c>
      <c r="AJ268" s="6">
        <f>IFERROR(AVERAGE(Main[[#This Row],[Health]],Main[[#This Row],[Personal care and effects]]),"NA")</f>
        <v>153</v>
      </c>
    </row>
    <row r="269" spans="1:36" ht="13.2" x14ac:dyDescent="0.25">
      <c r="A269" s="1" t="s">
        <v>36</v>
      </c>
      <c r="B269" s="1">
        <v>2020</v>
      </c>
      <c r="C269" s="1" t="s">
        <v>46</v>
      </c>
      <c r="D269" s="8">
        <f>DATEVALUE(Main[[#This Row],[Month]]&amp;Main[[#This Row],[Year]])</f>
        <v>44013</v>
      </c>
      <c r="E269" s="1">
        <v>148.19999999999999</v>
      </c>
      <c r="F269" s="1">
        <v>190.3</v>
      </c>
      <c r="G269" s="1">
        <v>149.4</v>
      </c>
      <c r="H269" s="1">
        <v>153.30000000000001</v>
      </c>
      <c r="I269" s="1">
        <v>138.19999999999999</v>
      </c>
      <c r="J269" s="1">
        <v>143.19999999999999</v>
      </c>
      <c r="K269" s="1">
        <v>148.9</v>
      </c>
      <c r="L269" s="1">
        <v>150.30000000000001</v>
      </c>
      <c r="M269" s="1">
        <v>113.2</v>
      </c>
      <c r="N269" s="1">
        <v>159.80000000000001</v>
      </c>
      <c r="O269" s="1">
        <v>142.1</v>
      </c>
      <c r="P269" s="1">
        <v>161.80000000000001</v>
      </c>
      <c r="Q269" s="1">
        <v>152.30000000000001</v>
      </c>
      <c r="R269" s="1">
        <v>182.4</v>
      </c>
      <c r="S269" s="1">
        <v>154.69999999999999</v>
      </c>
      <c r="T269" s="1">
        <v>150</v>
      </c>
      <c r="U269" s="1">
        <v>154.1</v>
      </c>
      <c r="V269" s="1" t="s">
        <v>38</v>
      </c>
      <c r="W269" s="1">
        <v>144.9</v>
      </c>
      <c r="X269" s="1">
        <v>151.69999999999999</v>
      </c>
      <c r="Y269" s="1">
        <v>158.19999999999999</v>
      </c>
      <c r="Z269" s="1">
        <v>141.4</v>
      </c>
      <c r="AA269" s="1">
        <v>153.19999999999999</v>
      </c>
      <c r="AB269" s="1">
        <v>161.80000000000001</v>
      </c>
      <c r="AC269" s="1">
        <v>151.19999999999999</v>
      </c>
      <c r="AD269" s="1">
        <v>151.69999999999999</v>
      </c>
      <c r="AE269" s="1">
        <v>152.69999999999999</v>
      </c>
      <c r="AF269" s="6">
        <f t="shared" si="16"/>
        <v>150.07692307692307</v>
      </c>
      <c r="AG269" s="6">
        <f t="shared" si="17"/>
        <v>162.43333333333334</v>
      </c>
      <c r="AH269" s="6">
        <f t="shared" si="18"/>
        <v>152.93333333333331</v>
      </c>
      <c r="AI269" s="6">
        <f t="shared" si="19"/>
        <v>149.94999999999999</v>
      </c>
      <c r="AJ269" s="6">
        <f>IFERROR(AVERAGE(Main[[#This Row],[Health]],Main[[#This Row],[Personal care and effects]]),"NA")</f>
        <v>154.69999999999999</v>
      </c>
    </row>
    <row r="270" spans="1:36" ht="13.2" x14ac:dyDescent="0.25">
      <c r="A270" s="1" t="s">
        <v>39</v>
      </c>
      <c r="B270" s="1">
        <v>2020</v>
      </c>
      <c r="C270" s="1" t="s">
        <v>46</v>
      </c>
      <c r="D270" s="8">
        <f>DATEVALUE(Main[[#This Row],[Month]]&amp;Main[[#This Row],[Year]])</f>
        <v>44013</v>
      </c>
      <c r="E270" s="1">
        <v>152.69999999999999</v>
      </c>
      <c r="F270" s="1">
        <v>197</v>
      </c>
      <c r="G270" s="1">
        <v>154.6</v>
      </c>
      <c r="H270" s="1">
        <v>153.4</v>
      </c>
      <c r="I270" s="1">
        <v>132.9</v>
      </c>
      <c r="J270" s="1">
        <v>151.80000000000001</v>
      </c>
      <c r="K270" s="1">
        <v>171.2</v>
      </c>
      <c r="L270" s="1">
        <v>152</v>
      </c>
      <c r="M270" s="1">
        <v>116.3</v>
      </c>
      <c r="N270" s="1">
        <v>158.80000000000001</v>
      </c>
      <c r="O270" s="1">
        <v>135.6</v>
      </c>
      <c r="P270" s="1">
        <v>161.69999999999999</v>
      </c>
      <c r="Q270" s="1">
        <v>157</v>
      </c>
      <c r="R270" s="1">
        <v>186.7</v>
      </c>
      <c r="S270" s="1">
        <v>149.1</v>
      </c>
      <c r="T270" s="1">
        <v>136.6</v>
      </c>
      <c r="U270" s="1">
        <v>147.19999999999999</v>
      </c>
      <c r="V270" s="1">
        <v>154.69999999999999</v>
      </c>
      <c r="W270" s="1">
        <v>137.1</v>
      </c>
      <c r="X270" s="1">
        <v>140.4</v>
      </c>
      <c r="Y270" s="1">
        <v>148.1</v>
      </c>
      <c r="Z270" s="1">
        <v>129.30000000000001</v>
      </c>
      <c r="AA270" s="1">
        <v>144.5</v>
      </c>
      <c r="AB270" s="1">
        <v>152.5</v>
      </c>
      <c r="AC270" s="1">
        <v>152.19999999999999</v>
      </c>
      <c r="AD270" s="1">
        <v>142</v>
      </c>
      <c r="AE270" s="1">
        <v>150.80000000000001</v>
      </c>
      <c r="AF270" s="6">
        <f t="shared" si="16"/>
        <v>153.46153846153845</v>
      </c>
      <c r="AG270" s="6">
        <f t="shared" si="17"/>
        <v>157.73333333333332</v>
      </c>
      <c r="AH270" s="6">
        <f t="shared" si="18"/>
        <v>144.29999999999998</v>
      </c>
      <c r="AI270" s="6">
        <f t="shared" si="19"/>
        <v>142.80000000000001</v>
      </c>
      <c r="AJ270" s="6">
        <f>IFERROR(AVERAGE(Main[[#This Row],[Health]],Main[[#This Row],[Personal care and effects]]),"NA")</f>
        <v>150.14999999999998</v>
      </c>
    </row>
    <row r="271" spans="1:36" ht="13.2" x14ac:dyDescent="0.25">
      <c r="A271" s="1" t="s">
        <v>40</v>
      </c>
      <c r="B271" s="1">
        <v>2020</v>
      </c>
      <c r="C271" s="1" t="s">
        <v>46</v>
      </c>
      <c r="D271" s="8">
        <f>DATEVALUE(Main[[#This Row],[Month]]&amp;Main[[#This Row],[Year]])</f>
        <v>44013</v>
      </c>
      <c r="E271" s="1">
        <v>149.6</v>
      </c>
      <c r="F271" s="1">
        <v>192.7</v>
      </c>
      <c r="G271" s="1">
        <v>151.4</v>
      </c>
      <c r="H271" s="1">
        <v>153.30000000000001</v>
      </c>
      <c r="I271" s="1">
        <v>136.30000000000001</v>
      </c>
      <c r="J271" s="1">
        <v>147.19999999999999</v>
      </c>
      <c r="K271" s="1">
        <v>156.5</v>
      </c>
      <c r="L271" s="1">
        <v>150.9</v>
      </c>
      <c r="M271" s="1">
        <v>114.2</v>
      </c>
      <c r="N271" s="1">
        <v>159.5</v>
      </c>
      <c r="O271" s="1">
        <v>139.4</v>
      </c>
      <c r="P271" s="1">
        <v>161.80000000000001</v>
      </c>
      <c r="Q271" s="1">
        <v>154</v>
      </c>
      <c r="R271" s="1">
        <v>183.5</v>
      </c>
      <c r="S271" s="1">
        <v>152.5</v>
      </c>
      <c r="T271" s="1">
        <v>144.4</v>
      </c>
      <c r="U271" s="1">
        <v>151.4</v>
      </c>
      <c r="V271" s="1">
        <v>154.69999999999999</v>
      </c>
      <c r="W271" s="1">
        <v>141.9</v>
      </c>
      <c r="X271" s="1">
        <v>146.4</v>
      </c>
      <c r="Y271" s="1">
        <v>154.4</v>
      </c>
      <c r="Z271" s="1">
        <v>135</v>
      </c>
      <c r="AA271" s="1">
        <v>148.30000000000001</v>
      </c>
      <c r="AB271" s="1">
        <v>156.4</v>
      </c>
      <c r="AC271" s="1">
        <v>151.6</v>
      </c>
      <c r="AD271" s="1">
        <v>147</v>
      </c>
      <c r="AE271" s="1">
        <v>151.80000000000001</v>
      </c>
      <c r="AF271" s="6">
        <f t="shared" si="16"/>
        <v>151.2923076923077</v>
      </c>
      <c r="AG271" s="6">
        <f t="shared" si="17"/>
        <v>159.6</v>
      </c>
      <c r="AH271" s="6">
        <f t="shared" si="18"/>
        <v>149.43333333333331</v>
      </c>
      <c r="AI271" s="6">
        <f t="shared" si="19"/>
        <v>146.88</v>
      </c>
      <c r="AJ271" s="6">
        <f>IFERROR(AVERAGE(Main[[#This Row],[Health]],Main[[#This Row],[Personal care and effects]]),"NA")</f>
        <v>153</v>
      </c>
    </row>
    <row r="272" spans="1:36" ht="13.2" x14ac:dyDescent="0.25">
      <c r="A272" s="1" t="s">
        <v>36</v>
      </c>
      <c r="B272" s="1">
        <v>2020</v>
      </c>
      <c r="C272" s="1" t="s">
        <v>47</v>
      </c>
      <c r="D272" s="8">
        <f>DATEVALUE(Main[[#This Row],[Month]]&amp;Main[[#This Row],[Year]])</f>
        <v>44044</v>
      </c>
      <c r="E272" s="1">
        <v>147.6</v>
      </c>
      <c r="F272" s="1">
        <v>187.2</v>
      </c>
      <c r="G272" s="1">
        <v>148.4</v>
      </c>
      <c r="H272" s="1">
        <v>153.30000000000001</v>
      </c>
      <c r="I272" s="1">
        <v>139.80000000000001</v>
      </c>
      <c r="J272" s="1">
        <v>146.9</v>
      </c>
      <c r="K272" s="1">
        <v>171</v>
      </c>
      <c r="L272" s="1">
        <v>149.9</v>
      </c>
      <c r="M272" s="1">
        <v>114.2</v>
      </c>
      <c r="N272" s="1">
        <v>160</v>
      </c>
      <c r="O272" s="1">
        <v>143.5</v>
      </c>
      <c r="P272" s="1">
        <v>161.5</v>
      </c>
      <c r="Q272" s="1">
        <v>155.30000000000001</v>
      </c>
      <c r="R272" s="1">
        <v>180.9</v>
      </c>
      <c r="S272" s="1">
        <v>155.1</v>
      </c>
      <c r="T272" s="1">
        <v>149.30000000000001</v>
      </c>
      <c r="U272" s="1">
        <v>154.30000000000001</v>
      </c>
      <c r="V272" s="1" t="s">
        <v>38</v>
      </c>
      <c r="W272" s="1">
        <v>145.80000000000001</v>
      </c>
      <c r="X272" s="1">
        <v>151.9</v>
      </c>
      <c r="Y272" s="1">
        <v>158.80000000000001</v>
      </c>
      <c r="Z272" s="1">
        <v>143.6</v>
      </c>
      <c r="AA272" s="1">
        <v>152.19999999999999</v>
      </c>
      <c r="AB272" s="1">
        <v>162.69999999999999</v>
      </c>
      <c r="AC272" s="1">
        <v>153.6</v>
      </c>
      <c r="AD272" s="1">
        <v>153</v>
      </c>
      <c r="AE272" s="1">
        <v>154.69999999999999</v>
      </c>
      <c r="AF272" s="6">
        <f t="shared" si="16"/>
        <v>152.19999999999999</v>
      </c>
      <c r="AG272" s="6">
        <f t="shared" si="17"/>
        <v>162.03333333333333</v>
      </c>
      <c r="AH272" s="6">
        <f t="shared" si="18"/>
        <v>152.9</v>
      </c>
      <c r="AI272" s="6">
        <f t="shared" si="19"/>
        <v>151</v>
      </c>
      <c r="AJ272" s="6">
        <f>IFERROR(AVERAGE(Main[[#This Row],[Health]],Main[[#This Row],[Personal care and effects]]),"NA")</f>
        <v>156.19999999999999</v>
      </c>
    </row>
    <row r="273" spans="1:36" ht="13.2" x14ac:dyDescent="0.25">
      <c r="A273" s="1" t="s">
        <v>39</v>
      </c>
      <c r="B273" s="1">
        <v>2020</v>
      </c>
      <c r="C273" s="1" t="s">
        <v>47</v>
      </c>
      <c r="D273" s="8">
        <f>DATEVALUE(Main[[#This Row],[Month]]&amp;Main[[#This Row],[Year]])</f>
        <v>44044</v>
      </c>
      <c r="E273" s="1">
        <v>151.6</v>
      </c>
      <c r="F273" s="1">
        <v>197.8</v>
      </c>
      <c r="G273" s="1">
        <v>154.5</v>
      </c>
      <c r="H273" s="1">
        <v>153.4</v>
      </c>
      <c r="I273" s="1">
        <v>133.4</v>
      </c>
      <c r="J273" s="1">
        <v>154.5</v>
      </c>
      <c r="K273" s="1">
        <v>191.9</v>
      </c>
      <c r="L273" s="1">
        <v>151.30000000000001</v>
      </c>
      <c r="M273" s="1">
        <v>116.8</v>
      </c>
      <c r="N273" s="1">
        <v>160</v>
      </c>
      <c r="O273" s="1">
        <v>136.5</v>
      </c>
      <c r="P273" s="1">
        <v>163.30000000000001</v>
      </c>
      <c r="Q273" s="1">
        <v>159.9</v>
      </c>
      <c r="R273" s="1">
        <v>187.2</v>
      </c>
      <c r="S273" s="1">
        <v>150</v>
      </c>
      <c r="T273" s="1">
        <v>135.19999999999999</v>
      </c>
      <c r="U273" s="1">
        <v>147.80000000000001</v>
      </c>
      <c r="V273" s="1">
        <v>155.5</v>
      </c>
      <c r="W273" s="1">
        <v>138.30000000000001</v>
      </c>
      <c r="X273" s="1">
        <v>144.5</v>
      </c>
      <c r="Y273" s="1">
        <v>148.69999999999999</v>
      </c>
      <c r="Z273" s="1">
        <v>133.9</v>
      </c>
      <c r="AA273" s="1">
        <v>141.19999999999999</v>
      </c>
      <c r="AB273" s="1">
        <v>155.5</v>
      </c>
      <c r="AC273" s="1">
        <v>155.19999999999999</v>
      </c>
      <c r="AD273" s="1">
        <v>144.80000000000001</v>
      </c>
      <c r="AE273" s="1">
        <v>152.9</v>
      </c>
      <c r="AF273" s="6">
        <f t="shared" si="16"/>
        <v>155.76153846153846</v>
      </c>
      <c r="AG273" s="6">
        <f t="shared" si="17"/>
        <v>157.73333333333332</v>
      </c>
      <c r="AH273" s="6">
        <f t="shared" si="18"/>
        <v>144.33333333333334</v>
      </c>
      <c r="AI273" s="6">
        <f t="shared" si="19"/>
        <v>145.54000000000002</v>
      </c>
      <c r="AJ273" s="6">
        <f>IFERROR(AVERAGE(Main[[#This Row],[Health]],Main[[#This Row],[Personal care and effects]]),"NA")</f>
        <v>151.94999999999999</v>
      </c>
    </row>
    <row r="274" spans="1:36" ht="13.2" x14ac:dyDescent="0.25">
      <c r="A274" s="1" t="s">
        <v>40</v>
      </c>
      <c r="B274" s="1">
        <v>2020</v>
      </c>
      <c r="C274" s="1" t="s">
        <v>47</v>
      </c>
      <c r="D274" s="8">
        <f>DATEVALUE(Main[[#This Row],[Month]]&amp;Main[[#This Row],[Year]])</f>
        <v>44044</v>
      </c>
      <c r="E274" s="1">
        <v>148.9</v>
      </c>
      <c r="F274" s="1">
        <v>190.9</v>
      </c>
      <c r="G274" s="1">
        <v>150.80000000000001</v>
      </c>
      <c r="H274" s="1">
        <v>153.30000000000001</v>
      </c>
      <c r="I274" s="1">
        <v>137.4</v>
      </c>
      <c r="J274" s="1">
        <v>150.4</v>
      </c>
      <c r="K274" s="1">
        <v>178.1</v>
      </c>
      <c r="L274" s="1">
        <v>150.4</v>
      </c>
      <c r="M274" s="1">
        <v>115.1</v>
      </c>
      <c r="N274" s="1">
        <v>160</v>
      </c>
      <c r="O274" s="1">
        <v>140.6</v>
      </c>
      <c r="P274" s="1">
        <v>162.30000000000001</v>
      </c>
      <c r="Q274" s="1">
        <v>157</v>
      </c>
      <c r="R274" s="1">
        <v>182.6</v>
      </c>
      <c r="S274" s="1">
        <v>153.1</v>
      </c>
      <c r="T274" s="1">
        <v>143.4</v>
      </c>
      <c r="U274" s="1">
        <v>151.69999999999999</v>
      </c>
      <c r="V274" s="1">
        <v>155.5</v>
      </c>
      <c r="W274" s="1">
        <v>143</v>
      </c>
      <c r="X274" s="1">
        <v>148.4</v>
      </c>
      <c r="Y274" s="1">
        <v>155</v>
      </c>
      <c r="Z274" s="1">
        <v>138.5</v>
      </c>
      <c r="AA274" s="1">
        <v>146</v>
      </c>
      <c r="AB274" s="1">
        <v>158.5</v>
      </c>
      <c r="AC274" s="1">
        <v>154.30000000000001</v>
      </c>
      <c r="AD274" s="1">
        <v>149</v>
      </c>
      <c r="AE274" s="1">
        <v>153.9</v>
      </c>
      <c r="AF274" s="6">
        <f t="shared" si="16"/>
        <v>153.47692307692307</v>
      </c>
      <c r="AG274" s="6">
        <f t="shared" si="17"/>
        <v>159.20000000000002</v>
      </c>
      <c r="AH274" s="6">
        <f t="shared" si="18"/>
        <v>149.4</v>
      </c>
      <c r="AI274" s="6">
        <f t="shared" si="19"/>
        <v>148.78</v>
      </c>
      <c r="AJ274" s="6">
        <f>IFERROR(AVERAGE(Main[[#This Row],[Health]],Main[[#This Row],[Personal care and effects]]),"NA")</f>
        <v>154.65</v>
      </c>
    </row>
    <row r="275" spans="1:36" ht="13.2" x14ac:dyDescent="0.25">
      <c r="A275" s="1" t="s">
        <v>36</v>
      </c>
      <c r="B275" s="1">
        <v>2020</v>
      </c>
      <c r="C275" s="1" t="s">
        <v>48</v>
      </c>
      <c r="D275" s="8">
        <f>DATEVALUE(Main[[#This Row],[Month]]&amp;Main[[#This Row],[Year]])</f>
        <v>44075</v>
      </c>
      <c r="E275" s="1">
        <v>146.9</v>
      </c>
      <c r="F275" s="1">
        <v>183.9</v>
      </c>
      <c r="G275" s="1">
        <v>149.5</v>
      </c>
      <c r="H275" s="1">
        <v>153.4</v>
      </c>
      <c r="I275" s="1">
        <v>140.4</v>
      </c>
      <c r="J275" s="1">
        <v>147</v>
      </c>
      <c r="K275" s="1">
        <v>178.8</v>
      </c>
      <c r="L275" s="1">
        <v>149.30000000000001</v>
      </c>
      <c r="M275" s="1">
        <v>115.1</v>
      </c>
      <c r="N275" s="1">
        <v>160</v>
      </c>
      <c r="O275" s="1">
        <v>145.4</v>
      </c>
      <c r="P275" s="1">
        <v>161.6</v>
      </c>
      <c r="Q275" s="1">
        <v>156.1</v>
      </c>
      <c r="R275" s="1">
        <v>182.9</v>
      </c>
      <c r="S275" s="1">
        <v>155.4</v>
      </c>
      <c r="T275" s="1">
        <v>149.9</v>
      </c>
      <c r="U275" s="1">
        <v>154.6</v>
      </c>
      <c r="V275" s="1" t="s">
        <v>38</v>
      </c>
      <c r="W275" s="1">
        <v>146.4</v>
      </c>
      <c r="X275" s="1">
        <v>151.6</v>
      </c>
      <c r="Y275" s="1">
        <v>159.1</v>
      </c>
      <c r="Z275" s="1">
        <v>144.6</v>
      </c>
      <c r="AA275" s="1">
        <v>152.80000000000001</v>
      </c>
      <c r="AB275" s="1">
        <v>161.1</v>
      </c>
      <c r="AC275" s="1">
        <v>157.4</v>
      </c>
      <c r="AD275" s="1">
        <v>153.69999999999999</v>
      </c>
      <c r="AE275" s="1">
        <v>155.4</v>
      </c>
      <c r="AF275" s="6">
        <f t="shared" si="16"/>
        <v>152.87692307692308</v>
      </c>
      <c r="AG275" s="6">
        <f t="shared" si="17"/>
        <v>163.13333333333335</v>
      </c>
      <c r="AH275" s="6">
        <f t="shared" si="18"/>
        <v>153.29999999999998</v>
      </c>
      <c r="AI275" s="6">
        <f t="shared" si="19"/>
        <v>150.92500000000001</v>
      </c>
      <c r="AJ275" s="6">
        <f>IFERROR(AVERAGE(Main[[#This Row],[Health]],Main[[#This Row],[Personal care and effects]]),"NA")</f>
        <v>158.25</v>
      </c>
    </row>
    <row r="276" spans="1:36" ht="13.2" x14ac:dyDescent="0.25">
      <c r="A276" s="1" t="s">
        <v>39</v>
      </c>
      <c r="B276" s="1">
        <v>2020</v>
      </c>
      <c r="C276" s="1" t="s">
        <v>48</v>
      </c>
      <c r="D276" s="8">
        <f>DATEVALUE(Main[[#This Row],[Month]]&amp;Main[[#This Row],[Year]])</f>
        <v>44075</v>
      </c>
      <c r="E276" s="1">
        <v>151.5</v>
      </c>
      <c r="F276" s="1">
        <v>193.1</v>
      </c>
      <c r="G276" s="1">
        <v>157.30000000000001</v>
      </c>
      <c r="H276" s="1">
        <v>153.9</v>
      </c>
      <c r="I276" s="1">
        <v>134.4</v>
      </c>
      <c r="J276" s="1">
        <v>155.4</v>
      </c>
      <c r="K276" s="1">
        <v>202</v>
      </c>
      <c r="L276" s="1">
        <v>150.80000000000001</v>
      </c>
      <c r="M276" s="1">
        <v>118.9</v>
      </c>
      <c r="N276" s="1">
        <v>160.9</v>
      </c>
      <c r="O276" s="1">
        <v>137.69999999999999</v>
      </c>
      <c r="P276" s="1">
        <v>164.4</v>
      </c>
      <c r="Q276" s="1">
        <v>161.30000000000001</v>
      </c>
      <c r="R276" s="1">
        <v>188.7</v>
      </c>
      <c r="S276" s="1">
        <v>150.19999999999999</v>
      </c>
      <c r="T276" s="1">
        <v>136.30000000000001</v>
      </c>
      <c r="U276" s="1">
        <v>148.1</v>
      </c>
      <c r="V276" s="1">
        <v>156.30000000000001</v>
      </c>
      <c r="W276" s="1">
        <v>137.19999999999999</v>
      </c>
      <c r="X276" s="1">
        <v>145.4</v>
      </c>
      <c r="Y276" s="1">
        <v>150</v>
      </c>
      <c r="Z276" s="1">
        <v>135.1</v>
      </c>
      <c r="AA276" s="1">
        <v>141.80000000000001</v>
      </c>
      <c r="AB276" s="1">
        <v>154.9</v>
      </c>
      <c r="AC276" s="1">
        <v>159.80000000000001</v>
      </c>
      <c r="AD276" s="1">
        <v>146</v>
      </c>
      <c r="AE276" s="1">
        <v>154</v>
      </c>
      <c r="AF276" s="6">
        <f t="shared" si="16"/>
        <v>157.04615384615386</v>
      </c>
      <c r="AG276" s="6">
        <f t="shared" si="17"/>
        <v>158.83333333333334</v>
      </c>
      <c r="AH276" s="6">
        <f t="shared" si="18"/>
        <v>144.86666666666667</v>
      </c>
      <c r="AI276" s="6">
        <f t="shared" si="19"/>
        <v>145.78</v>
      </c>
      <c r="AJ276" s="6">
        <f>IFERROR(AVERAGE(Main[[#This Row],[Health]],Main[[#This Row],[Personal care and effects]]),"NA")</f>
        <v>154.9</v>
      </c>
    </row>
    <row r="277" spans="1:36" ht="13.2" x14ac:dyDescent="0.25">
      <c r="A277" s="1" t="s">
        <v>40</v>
      </c>
      <c r="B277" s="1">
        <v>2020</v>
      </c>
      <c r="C277" s="1" t="s">
        <v>48</v>
      </c>
      <c r="D277" s="8">
        <f>DATEVALUE(Main[[#This Row],[Month]]&amp;Main[[#This Row],[Year]])</f>
        <v>44075</v>
      </c>
      <c r="E277" s="1">
        <v>148.4</v>
      </c>
      <c r="F277" s="1">
        <v>187.1</v>
      </c>
      <c r="G277" s="1">
        <v>152.5</v>
      </c>
      <c r="H277" s="1">
        <v>153.6</v>
      </c>
      <c r="I277" s="1">
        <v>138.19999999999999</v>
      </c>
      <c r="J277" s="1">
        <v>150.9</v>
      </c>
      <c r="K277" s="1">
        <v>186.7</v>
      </c>
      <c r="L277" s="1">
        <v>149.80000000000001</v>
      </c>
      <c r="M277" s="1">
        <v>116.4</v>
      </c>
      <c r="N277" s="1">
        <v>160.30000000000001</v>
      </c>
      <c r="O277" s="1">
        <v>142.19999999999999</v>
      </c>
      <c r="P277" s="1">
        <v>162.9</v>
      </c>
      <c r="Q277" s="1">
        <v>158</v>
      </c>
      <c r="R277" s="1">
        <v>184.4</v>
      </c>
      <c r="S277" s="1">
        <v>153.4</v>
      </c>
      <c r="T277" s="1">
        <v>144.30000000000001</v>
      </c>
      <c r="U277" s="1">
        <v>152</v>
      </c>
      <c r="V277" s="1">
        <v>156.30000000000001</v>
      </c>
      <c r="W277" s="1">
        <v>142.9</v>
      </c>
      <c r="X277" s="1">
        <v>148.69999999999999</v>
      </c>
      <c r="Y277" s="1">
        <v>155.6</v>
      </c>
      <c r="Z277" s="1">
        <v>139.6</v>
      </c>
      <c r="AA277" s="1">
        <v>146.6</v>
      </c>
      <c r="AB277" s="1">
        <v>157.5</v>
      </c>
      <c r="AC277" s="1">
        <v>158.4</v>
      </c>
      <c r="AD277" s="1">
        <v>150</v>
      </c>
      <c r="AE277" s="1">
        <v>154.69999999999999</v>
      </c>
      <c r="AF277" s="6">
        <f t="shared" si="16"/>
        <v>154.38461538461539</v>
      </c>
      <c r="AG277" s="6">
        <f t="shared" si="17"/>
        <v>160.33333333333334</v>
      </c>
      <c r="AH277" s="6">
        <f t="shared" si="18"/>
        <v>149.9</v>
      </c>
      <c r="AI277" s="6">
        <f t="shared" si="19"/>
        <v>149</v>
      </c>
      <c r="AJ277" s="6">
        <f>IFERROR(AVERAGE(Main[[#This Row],[Health]],Main[[#This Row],[Personal care and effects]]),"NA")</f>
        <v>157</v>
      </c>
    </row>
    <row r="278" spans="1:36" ht="13.2" x14ac:dyDescent="0.25">
      <c r="A278" s="1" t="s">
        <v>36</v>
      </c>
      <c r="B278" s="1">
        <v>2020</v>
      </c>
      <c r="C278" s="1" t="s">
        <v>49</v>
      </c>
      <c r="D278" s="8">
        <f>DATEVALUE(Main[[#This Row],[Month]]&amp;Main[[#This Row],[Year]])</f>
        <v>44105</v>
      </c>
      <c r="E278" s="1">
        <v>146</v>
      </c>
      <c r="F278" s="1">
        <v>186.3</v>
      </c>
      <c r="G278" s="1">
        <v>159.19999999999999</v>
      </c>
      <c r="H278" s="1">
        <v>153.6</v>
      </c>
      <c r="I278" s="1">
        <v>142.6</v>
      </c>
      <c r="J278" s="1">
        <v>147.19999999999999</v>
      </c>
      <c r="K278" s="1">
        <v>200.6</v>
      </c>
      <c r="L278" s="1">
        <v>150.30000000000001</v>
      </c>
      <c r="M278" s="1">
        <v>115.3</v>
      </c>
      <c r="N278" s="1">
        <v>160.9</v>
      </c>
      <c r="O278" s="1">
        <v>147.4</v>
      </c>
      <c r="P278" s="1">
        <v>161.9</v>
      </c>
      <c r="Q278" s="1">
        <v>159.6</v>
      </c>
      <c r="R278" s="1">
        <v>182.7</v>
      </c>
      <c r="S278" s="1">
        <v>155.69999999999999</v>
      </c>
      <c r="T278" s="1">
        <v>150.6</v>
      </c>
      <c r="U278" s="1">
        <v>155</v>
      </c>
      <c r="V278" s="1" t="s">
        <v>38</v>
      </c>
      <c r="W278" s="1">
        <v>146.80000000000001</v>
      </c>
      <c r="X278" s="1">
        <v>152</v>
      </c>
      <c r="Y278" s="1">
        <v>159.5</v>
      </c>
      <c r="Z278" s="1">
        <v>146.4</v>
      </c>
      <c r="AA278" s="1">
        <v>152.4</v>
      </c>
      <c r="AB278" s="1">
        <v>162.5</v>
      </c>
      <c r="AC278" s="1">
        <v>156.19999999999999</v>
      </c>
      <c r="AD278" s="1">
        <v>154.30000000000001</v>
      </c>
      <c r="AE278" s="1">
        <v>157.5</v>
      </c>
      <c r="AF278" s="6">
        <f t="shared" si="16"/>
        <v>156.22307692307692</v>
      </c>
      <c r="AG278" s="6">
        <f t="shared" si="17"/>
        <v>163.13333333333335</v>
      </c>
      <c r="AH278" s="6">
        <f t="shared" si="18"/>
        <v>153.76666666666665</v>
      </c>
      <c r="AI278" s="6">
        <f t="shared" si="19"/>
        <v>151.92500000000001</v>
      </c>
      <c r="AJ278" s="6">
        <f>IFERROR(AVERAGE(Main[[#This Row],[Health]],Main[[#This Row],[Personal care and effects]]),"NA")</f>
        <v>157.85</v>
      </c>
    </row>
    <row r="279" spans="1:36" ht="13.2" x14ac:dyDescent="0.25">
      <c r="A279" s="1" t="s">
        <v>39</v>
      </c>
      <c r="B279" s="1">
        <v>2020</v>
      </c>
      <c r="C279" s="1" t="s">
        <v>49</v>
      </c>
      <c r="D279" s="8">
        <f>DATEVALUE(Main[[#This Row],[Month]]&amp;Main[[#This Row],[Year]])</f>
        <v>44105</v>
      </c>
      <c r="E279" s="1">
        <v>150.6</v>
      </c>
      <c r="F279" s="1">
        <v>193.7</v>
      </c>
      <c r="G279" s="1">
        <v>164.8</v>
      </c>
      <c r="H279" s="1">
        <v>153.69999999999999</v>
      </c>
      <c r="I279" s="1">
        <v>135.69999999999999</v>
      </c>
      <c r="J279" s="1">
        <v>155.69999999999999</v>
      </c>
      <c r="K279" s="1">
        <v>226</v>
      </c>
      <c r="L279" s="1">
        <v>152.19999999999999</v>
      </c>
      <c r="M279" s="1">
        <v>118.1</v>
      </c>
      <c r="N279" s="1">
        <v>161.30000000000001</v>
      </c>
      <c r="O279" s="1">
        <v>139.19999999999999</v>
      </c>
      <c r="P279" s="1">
        <v>164.8</v>
      </c>
      <c r="Q279" s="1">
        <v>164.4</v>
      </c>
      <c r="R279" s="1">
        <v>188.7</v>
      </c>
      <c r="S279" s="1">
        <v>150.5</v>
      </c>
      <c r="T279" s="1">
        <v>136.1</v>
      </c>
      <c r="U279" s="1">
        <v>148.30000000000001</v>
      </c>
      <c r="V279" s="1">
        <v>156.5</v>
      </c>
      <c r="W279" s="1">
        <v>137.1</v>
      </c>
      <c r="X279" s="1">
        <v>145.1</v>
      </c>
      <c r="Y279" s="1">
        <v>151</v>
      </c>
      <c r="Z279" s="1">
        <v>135.4</v>
      </c>
      <c r="AA279" s="1">
        <v>142</v>
      </c>
      <c r="AB279" s="1">
        <v>155.69999999999999</v>
      </c>
      <c r="AC279" s="1">
        <v>158.1</v>
      </c>
      <c r="AD279" s="1">
        <v>146.19999999999999</v>
      </c>
      <c r="AE279" s="1">
        <v>155.19999999999999</v>
      </c>
      <c r="AF279" s="6">
        <f t="shared" si="16"/>
        <v>160.01538461538459</v>
      </c>
      <c r="AG279" s="6">
        <f t="shared" si="17"/>
        <v>158.96666666666667</v>
      </c>
      <c r="AH279" s="6">
        <f t="shared" si="18"/>
        <v>144.96666666666667</v>
      </c>
      <c r="AI279" s="6">
        <f t="shared" si="19"/>
        <v>145.95999999999998</v>
      </c>
      <c r="AJ279" s="6">
        <f>IFERROR(AVERAGE(Main[[#This Row],[Health]],Main[[#This Row],[Personal care and effects]]),"NA")</f>
        <v>154.55000000000001</v>
      </c>
    </row>
    <row r="280" spans="1:36" ht="13.2" x14ac:dyDescent="0.25">
      <c r="A280" s="1" t="s">
        <v>40</v>
      </c>
      <c r="B280" s="1">
        <v>2020</v>
      </c>
      <c r="C280" s="1" t="s">
        <v>49</v>
      </c>
      <c r="D280" s="8">
        <f>DATEVALUE(Main[[#This Row],[Month]]&amp;Main[[#This Row],[Year]])</f>
        <v>44105</v>
      </c>
      <c r="E280" s="1">
        <v>147.5</v>
      </c>
      <c r="F280" s="1">
        <v>188.9</v>
      </c>
      <c r="G280" s="1">
        <v>161.4</v>
      </c>
      <c r="H280" s="1">
        <v>153.6</v>
      </c>
      <c r="I280" s="1">
        <v>140.1</v>
      </c>
      <c r="J280" s="1">
        <v>151.19999999999999</v>
      </c>
      <c r="K280" s="1">
        <v>209.2</v>
      </c>
      <c r="L280" s="1">
        <v>150.9</v>
      </c>
      <c r="M280" s="1">
        <v>116.2</v>
      </c>
      <c r="N280" s="1">
        <v>161</v>
      </c>
      <c r="O280" s="1">
        <v>144</v>
      </c>
      <c r="P280" s="1">
        <v>163.19999999999999</v>
      </c>
      <c r="Q280" s="1">
        <v>161.4</v>
      </c>
      <c r="R280" s="1">
        <v>184.3</v>
      </c>
      <c r="S280" s="1">
        <v>153.69999999999999</v>
      </c>
      <c r="T280" s="1">
        <v>144.6</v>
      </c>
      <c r="U280" s="1">
        <v>152.30000000000001</v>
      </c>
      <c r="V280" s="1">
        <v>156.5</v>
      </c>
      <c r="W280" s="1">
        <v>143.1</v>
      </c>
      <c r="X280" s="1">
        <v>148.69999999999999</v>
      </c>
      <c r="Y280" s="1">
        <v>156.30000000000001</v>
      </c>
      <c r="Z280" s="1">
        <v>140.6</v>
      </c>
      <c r="AA280" s="1">
        <v>146.5</v>
      </c>
      <c r="AB280" s="1">
        <v>158.5</v>
      </c>
      <c r="AC280" s="1">
        <v>157</v>
      </c>
      <c r="AD280" s="1">
        <v>150.4</v>
      </c>
      <c r="AE280" s="1">
        <v>156.4</v>
      </c>
      <c r="AF280" s="6">
        <f t="shared" si="16"/>
        <v>157.5846153846154</v>
      </c>
      <c r="AG280" s="6">
        <f t="shared" si="17"/>
        <v>160.4</v>
      </c>
      <c r="AH280" s="6">
        <f t="shared" si="18"/>
        <v>150.19999999999999</v>
      </c>
      <c r="AI280" s="6">
        <f t="shared" si="19"/>
        <v>149.47999999999999</v>
      </c>
      <c r="AJ280" s="6">
        <f>IFERROR(AVERAGE(Main[[#This Row],[Health]],Main[[#This Row],[Personal care and effects]]),"NA")</f>
        <v>156.65</v>
      </c>
    </row>
    <row r="281" spans="1:36" ht="13.2" x14ac:dyDescent="0.25">
      <c r="A281" s="1" t="s">
        <v>36</v>
      </c>
      <c r="B281" s="1">
        <v>2020</v>
      </c>
      <c r="C281" s="1" t="s">
        <v>50</v>
      </c>
      <c r="D281" s="8">
        <f>DATEVALUE(Main[[#This Row],[Month]]&amp;Main[[#This Row],[Year]])</f>
        <v>44136</v>
      </c>
      <c r="E281" s="1">
        <v>145.4</v>
      </c>
      <c r="F281" s="1">
        <v>188.6</v>
      </c>
      <c r="G281" s="1">
        <v>171.6</v>
      </c>
      <c r="H281" s="1">
        <v>153.80000000000001</v>
      </c>
      <c r="I281" s="1">
        <v>145.4</v>
      </c>
      <c r="J281" s="1">
        <v>146.5</v>
      </c>
      <c r="K281" s="1">
        <v>222.2</v>
      </c>
      <c r="L281" s="1">
        <v>155.9</v>
      </c>
      <c r="M281" s="1">
        <v>114.9</v>
      </c>
      <c r="N281" s="1">
        <v>162</v>
      </c>
      <c r="O281" s="1">
        <v>150</v>
      </c>
      <c r="P281" s="1">
        <v>162.69999999999999</v>
      </c>
      <c r="Q281" s="1">
        <v>163.4</v>
      </c>
      <c r="R281" s="1">
        <v>183.4</v>
      </c>
      <c r="S281" s="1">
        <v>156.30000000000001</v>
      </c>
      <c r="T281" s="1">
        <v>151</v>
      </c>
      <c r="U281" s="1">
        <v>155.5</v>
      </c>
      <c r="V281" s="1" t="s">
        <v>38</v>
      </c>
      <c r="W281" s="1">
        <v>147.5</v>
      </c>
      <c r="X281" s="1">
        <v>152.80000000000001</v>
      </c>
      <c r="Y281" s="1">
        <v>160.4</v>
      </c>
      <c r="Z281" s="1">
        <v>146.1</v>
      </c>
      <c r="AA281" s="1">
        <v>153.6</v>
      </c>
      <c r="AB281" s="1">
        <v>161.6</v>
      </c>
      <c r="AC281" s="1">
        <v>156.19999999999999</v>
      </c>
      <c r="AD281" s="1">
        <v>154.5</v>
      </c>
      <c r="AE281" s="1">
        <v>159.80000000000001</v>
      </c>
      <c r="AF281" s="6">
        <f t="shared" si="16"/>
        <v>160.1846153846154</v>
      </c>
      <c r="AG281" s="6">
        <f t="shared" si="17"/>
        <v>163.83333333333334</v>
      </c>
      <c r="AH281" s="6">
        <f t="shared" si="18"/>
        <v>154.26666666666668</v>
      </c>
      <c r="AI281" s="6">
        <f t="shared" si="19"/>
        <v>152</v>
      </c>
      <c r="AJ281" s="6">
        <f>IFERROR(AVERAGE(Main[[#This Row],[Health]],Main[[#This Row],[Personal care and effects]]),"NA")</f>
        <v>158.30000000000001</v>
      </c>
    </row>
    <row r="282" spans="1:36" ht="13.2" x14ac:dyDescent="0.25">
      <c r="A282" s="1" t="s">
        <v>39</v>
      </c>
      <c r="B282" s="1">
        <v>2020</v>
      </c>
      <c r="C282" s="1" t="s">
        <v>50</v>
      </c>
      <c r="D282" s="8">
        <f>DATEVALUE(Main[[#This Row],[Month]]&amp;Main[[#This Row],[Year]])</f>
        <v>44136</v>
      </c>
      <c r="E282" s="1">
        <v>149.69999999999999</v>
      </c>
      <c r="F282" s="1">
        <v>195.5</v>
      </c>
      <c r="G282" s="1">
        <v>176.9</v>
      </c>
      <c r="H282" s="1">
        <v>153.9</v>
      </c>
      <c r="I282" s="1">
        <v>138</v>
      </c>
      <c r="J282" s="1">
        <v>150.5</v>
      </c>
      <c r="K282" s="1">
        <v>245.3</v>
      </c>
      <c r="L282" s="1">
        <v>158.69999999999999</v>
      </c>
      <c r="M282" s="1">
        <v>117.2</v>
      </c>
      <c r="N282" s="1">
        <v>161.4</v>
      </c>
      <c r="O282" s="1">
        <v>141.5</v>
      </c>
      <c r="P282" s="1">
        <v>165.1</v>
      </c>
      <c r="Q282" s="1">
        <v>167</v>
      </c>
      <c r="R282" s="1">
        <v>188.8</v>
      </c>
      <c r="S282" s="1">
        <v>151.1</v>
      </c>
      <c r="T282" s="1">
        <v>136.4</v>
      </c>
      <c r="U282" s="1">
        <v>148.80000000000001</v>
      </c>
      <c r="V282" s="1">
        <v>158</v>
      </c>
      <c r="W282" s="1">
        <v>137.30000000000001</v>
      </c>
      <c r="X282" s="1">
        <v>145.1</v>
      </c>
      <c r="Y282" s="1">
        <v>152</v>
      </c>
      <c r="Z282" s="1">
        <v>135.19999999999999</v>
      </c>
      <c r="AA282" s="1">
        <v>144.4</v>
      </c>
      <c r="AB282" s="1">
        <v>156.4</v>
      </c>
      <c r="AC282" s="1">
        <v>157.9</v>
      </c>
      <c r="AD282" s="1">
        <v>146.6</v>
      </c>
      <c r="AE282" s="1">
        <v>156.69999999999999</v>
      </c>
      <c r="AF282" s="6">
        <f t="shared" si="16"/>
        <v>163.1307692307692</v>
      </c>
      <c r="AG282" s="6">
        <f t="shared" si="17"/>
        <v>159.93333333333337</v>
      </c>
      <c r="AH282" s="6">
        <f t="shared" si="18"/>
        <v>145.43333333333334</v>
      </c>
      <c r="AI282" s="6">
        <f t="shared" si="19"/>
        <v>146.39999999999998</v>
      </c>
      <c r="AJ282" s="6">
        <f>IFERROR(AVERAGE(Main[[#This Row],[Health]],Main[[#This Row],[Personal care and effects]]),"NA")</f>
        <v>154.94999999999999</v>
      </c>
    </row>
    <row r="283" spans="1:36" ht="13.2" x14ac:dyDescent="0.25">
      <c r="A283" s="1" t="s">
        <v>40</v>
      </c>
      <c r="B283" s="1">
        <v>2020</v>
      </c>
      <c r="C283" s="1" t="s">
        <v>50</v>
      </c>
      <c r="D283" s="8">
        <f>DATEVALUE(Main[[#This Row],[Month]]&amp;Main[[#This Row],[Year]])</f>
        <v>44136</v>
      </c>
      <c r="E283" s="1">
        <v>146.80000000000001</v>
      </c>
      <c r="F283" s="1">
        <v>191</v>
      </c>
      <c r="G283" s="1">
        <v>173.6</v>
      </c>
      <c r="H283" s="1">
        <v>153.80000000000001</v>
      </c>
      <c r="I283" s="1">
        <v>142.69999999999999</v>
      </c>
      <c r="J283" s="1">
        <v>148.4</v>
      </c>
      <c r="K283" s="1">
        <v>230</v>
      </c>
      <c r="L283" s="1">
        <v>156.80000000000001</v>
      </c>
      <c r="M283" s="1">
        <v>115.7</v>
      </c>
      <c r="N283" s="1">
        <v>161.80000000000001</v>
      </c>
      <c r="O283" s="1">
        <v>146.5</v>
      </c>
      <c r="P283" s="1">
        <v>163.80000000000001</v>
      </c>
      <c r="Q283" s="1">
        <v>164.7</v>
      </c>
      <c r="R283" s="1">
        <v>184.8</v>
      </c>
      <c r="S283" s="1">
        <v>154.30000000000001</v>
      </c>
      <c r="T283" s="1">
        <v>144.9</v>
      </c>
      <c r="U283" s="1">
        <v>152.80000000000001</v>
      </c>
      <c r="V283" s="1">
        <v>158</v>
      </c>
      <c r="W283" s="1">
        <v>143.6</v>
      </c>
      <c r="X283" s="1">
        <v>149.19999999999999</v>
      </c>
      <c r="Y283" s="1">
        <v>157.19999999999999</v>
      </c>
      <c r="Z283" s="1">
        <v>140.4</v>
      </c>
      <c r="AA283" s="1">
        <v>148.4</v>
      </c>
      <c r="AB283" s="1">
        <v>158.6</v>
      </c>
      <c r="AC283" s="1">
        <v>156.9</v>
      </c>
      <c r="AD283" s="1">
        <v>150.69999999999999</v>
      </c>
      <c r="AE283" s="1">
        <v>158.4</v>
      </c>
      <c r="AF283" s="6">
        <f t="shared" si="16"/>
        <v>161.19999999999999</v>
      </c>
      <c r="AG283" s="6">
        <f t="shared" si="17"/>
        <v>161.30000000000001</v>
      </c>
      <c r="AH283" s="6">
        <f t="shared" si="18"/>
        <v>150.66666666666669</v>
      </c>
      <c r="AI283" s="6">
        <f t="shared" si="19"/>
        <v>149.96</v>
      </c>
      <c r="AJ283" s="6">
        <f>IFERROR(AVERAGE(Main[[#This Row],[Health]],Main[[#This Row],[Personal care and effects]]),"NA")</f>
        <v>157.05000000000001</v>
      </c>
    </row>
    <row r="284" spans="1:36" ht="13.2" x14ac:dyDescent="0.25">
      <c r="A284" s="1" t="s">
        <v>36</v>
      </c>
      <c r="B284" s="1">
        <v>2020</v>
      </c>
      <c r="C284" s="1" t="s">
        <v>51</v>
      </c>
      <c r="D284" s="8">
        <f>DATEVALUE(Main[[#This Row],[Month]]&amp;Main[[#This Row],[Year]])</f>
        <v>44166</v>
      </c>
      <c r="E284" s="1">
        <v>144.6</v>
      </c>
      <c r="F284" s="1">
        <v>188.5</v>
      </c>
      <c r="G284" s="1">
        <v>173.4</v>
      </c>
      <c r="H284" s="1">
        <v>154</v>
      </c>
      <c r="I284" s="1">
        <v>150</v>
      </c>
      <c r="J284" s="1">
        <v>145.9</v>
      </c>
      <c r="K284" s="1">
        <v>225.2</v>
      </c>
      <c r="L284" s="1">
        <v>159.5</v>
      </c>
      <c r="M284" s="1">
        <v>114.4</v>
      </c>
      <c r="N284" s="1">
        <v>163.5</v>
      </c>
      <c r="O284" s="1">
        <v>153.4</v>
      </c>
      <c r="P284" s="1">
        <v>163.6</v>
      </c>
      <c r="Q284" s="1">
        <v>164.5</v>
      </c>
      <c r="R284" s="1">
        <v>183.6</v>
      </c>
      <c r="S284" s="1">
        <v>157</v>
      </c>
      <c r="T284" s="1">
        <v>151.6</v>
      </c>
      <c r="U284" s="1">
        <v>156.30000000000001</v>
      </c>
      <c r="V284" s="1" t="s">
        <v>38</v>
      </c>
      <c r="W284" s="1">
        <v>148.69999999999999</v>
      </c>
      <c r="X284" s="1">
        <v>153.4</v>
      </c>
      <c r="Y284" s="1">
        <v>161.6</v>
      </c>
      <c r="Z284" s="1">
        <v>146.4</v>
      </c>
      <c r="AA284" s="1">
        <v>153.9</v>
      </c>
      <c r="AB284" s="1">
        <v>162.9</v>
      </c>
      <c r="AC284" s="1">
        <v>156.6</v>
      </c>
      <c r="AD284" s="1">
        <v>155.19999999999999</v>
      </c>
      <c r="AE284" s="1">
        <v>160.69999999999999</v>
      </c>
      <c r="AF284" s="6">
        <f t="shared" si="16"/>
        <v>161.57692307692307</v>
      </c>
      <c r="AG284" s="6">
        <f t="shared" si="17"/>
        <v>164.23333333333332</v>
      </c>
      <c r="AH284" s="6">
        <f t="shared" si="18"/>
        <v>154.96666666666667</v>
      </c>
      <c r="AI284" s="6">
        <f t="shared" si="19"/>
        <v>152.85</v>
      </c>
      <c r="AJ284" s="6">
        <f>IFERROR(AVERAGE(Main[[#This Row],[Health]],Main[[#This Row],[Personal care and effects]]),"NA")</f>
        <v>159.1</v>
      </c>
    </row>
    <row r="285" spans="1:36" ht="13.2" x14ac:dyDescent="0.25">
      <c r="A285" s="1" t="s">
        <v>39</v>
      </c>
      <c r="B285" s="1">
        <v>2020</v>
      </c>
      <c r="C285" s="1" t="s">
        <v>51</v>
      </c>
      <c r="D285" s="8">
        <f>DATEVALUE(Main[[#This Row],[Month]]&amp;Main[[#This Row],[Year]])</f>
        <v>44166</v>
      </c>
      <c r="E285" s="1">
        <v>149</v>
      </c>
      <c r="F285" s="1">
        <v>195.7</v>
      </c>
      <c r="G285" s="1">
        <v>178.3</v>
      </c>
      <c r="H285" s="1">
        <v>154.19999999999999</v>
      </c>
      <c r="I285" s="1">
        <v>140.69999999999999</v>
      </c>
      <c r="J285" s="1">
        <v>149.69999999999999</v>
      </c>
      <c r="K285" s="1">
        <v>240.9</v>
      </c>
      <c r="L285" s="1">
        <v>161.5</v>
      </c>
      <c r="M285" s="1">
        <v>117.1</v>
      </c>
      <c r="N285" s="1">
        <v>161.9</v>
      </c>
      <c r="O285" s="1">
        <v>143.30000000000001</v>
      </c>
      <c r="P285" s="1">
        <v>166.1</v>
      </c>
      <c r="Q285" s="1">
        <v>167</v>
      </c>
      <c r="R285" s="1">
        <v>190.2</v>
      </c>
      <c r="S285" s="1">
        <v>151.9</v>
      </c>
      <c r="T285" s="1">
        <v>136.69999999999999</v>
      </c>
      <c r="U285" s="1">
        <v>149.6</v>
      </c>
      <c r="V285" s="1">
        <v>158.4</v>
      </c>
      <c r="W285" s="1">
        <v>137.9</v>
      </c>
      <c r="X285" s="1">
        <v>145.5</v>
      </c>
      <c r="Y285" s="1">
        <v>152.9</v>
      </c>
      <c r="Z285" s="1">
        <v>135.5</v>
      </c>
      <c r="AA285" s="1">
        <v>144.30000000000001</v>
      </c>
      <c r="AB285" s="1">
        <v>156.9</v>
      </c>
      <c r="AC285" s="1">
        <v>157.9</v>
      </c>
      <c r="AD285" s="1">
        <v>146.9</v>
      </c>
      <c r="AE285" s="1">
        <v>156.9</v>
      </c>
      <c r="AF285" s="6">
        <f t="shared" si="16"/>
        <v>163.49230769230769</v>
      </c>
      <c r="AG285" s="6">
        <f t="shared" si="17"/>
        <v>160.46666666666667</v>
      </c>
      <c r="AH285" s="6">
        <f t="shared" si="18"/>
        <v>146.06666666666669</v>
      </c>
      <c r="AI285" s="6">
        <f t="shared" si="19"/>
        <v>146.83999999999997</v>
      </c>
      <c r="AJ285" s="6">
        <f>IFERROR(AVERAGE(Main[[#This Row],[Health]],Main[[#This Row],[Personal care and effects]]),"NA")</f>
        <v>155.4</v>
      </c>
    </row>
    <row r="286" spans="1:36" ht="13.2" x14ac:dyDescent="0.25">
      <c r="A286" s="1" t="s">
        <v>40</v>
      </c>
      <c r="B286" s="1">
        <v>2020</v>
      </c>
      <c r="C286" s="1" t="s">
        <v>51</v>
      </c>
      <c r="D286" s="8">
        <f>DATEVALUE(Main[[#This Row],[Month]]&amp;Main[[#This Row],[Year]])</f>
        <v>44166</v>
      </c>
      <c r="E286" s="1">
        <v>146</v>
      </c>
      <c r="F286" s="1">
        <v>191</v>
      </c>
      <c r="G286" s="1">
        <v>175.3</v>
      </c>
      <c r="H286" s="1">
        <v>154.1</v>
      </c>
      <c r="I286" s="1">
        <v>146.6</v>
      </c>
      <c r="J286" s="1">
        <v>147.69999999999999</v>
      </c>
      <c r="K286" s="1">
        <v>230.5</v>
      </c>
      <c r="L286" s="1">
        <v>160.19999999999999</v>
      </c>
      <c r="M286" s="1">
        <v>115.3</v>
      </c>
      <c r="N286" s="1">
        <v>163</v>
      </c>
      <c r="O286" s="1">
        <v>149.19999999999999</v>
      </c>
      <c r="P286" s="1">
        <v>164.8</v>
      </c>
      <c r="Q286" s="1">
        <v>165.4</v>
      </c>
      <c r="R286" s="1">
        <v>185.4</v>
      </c>
      <c r="S286" s="1">
        <v>155</v>
      </c>
      <c r="T286" s="1">
        <v>145.4</v>
      </c>
      <c r="U286" s="1">
        <v>153.6</v>
      </c>
      <c r="V286" s="1">
        <v>158.4</v>
      </c>
      <c r="W286" s="1">
        <v>144.6</v>
      </c>
      <c r="X286" s="1">
        <v>149.69999999999999</v>
      </c>
      <c r="Y286" s="1">
        <v>158.30000000000001</v>
      </c>
      <c r="Z286" s="1">
        <v>140.69999999999999</v>
      </c>
      <c r="AA286" s="1">
        <v>148.5</v>
      </c>
      <c r="AB286" s="1">
        <v>159.4</v>
      </c>
      <c r="AC286" s="1">
        <v>157.1</v>
      </c>
      <c r="AD286" s="1">
        <v>151.19999999999999</v>
      </c>
      <c r="AE286" s="1">
        <v>158.9</v>
      </c>
      <c r="AF286" s="6">
        <f t="shared" si="16"/>
        <v>162.23846153846154</v>
      </c>
      <c r="AG286" s="6">
        <f t="shared" si="17"/>
        <v>161.69999999999999</v>
      </c>
      <c r="AH286" s="6">
        <f t="shared" si="18"/>
        <v>151.33333333333334</v>
      </c>
      <c r="AI286" s="6">
        <f t="shared" si="19"/>
        <v>150.56</v>
      </c>
      <c r="AJ286" s="6">
        <f>IFERROR(AVERAGE(Main[[#This Row],[Health]],Main[[#This Row],[Personal care and effects]]),"NA")</f>
        <v>157.69999999999999</v>
      </c>
    </row>
    <row r="287" spans="1:36" ht="13.2" x14ac:dyDescent="0.25">
      <c r="A287" s="1" t="s">
        <v>36</v>
      </c>
      <c r="B287" s="1">
        <v>2021</v>
      </c>
      <c r="C287" s="1" t="s">
        <v>37</v>
      </c>
      <c r="D287" s="8">
        <f>DATEVALUE(Main[[#This Row],[Month]]&amp;Main[[#This Row],[Year]])</f>
        <v>44197</v>
      </c>
      <c r="E287" s="1">
        <v>143.4</v>
      </c>
      <c r="F287" s="1">
        <v>187.5</v>
      </c>
      <c r="G287" s="1">
        <v>173.4</v>
      </c>
      <c r="H287" s="1">
        <v>154</v>
      </c>
      <c r="I287" s="1">
        <v>154.80000000000001</v>
      </c>
      <c r="J287" s="1">
        <v>147</v>
      </c>
      <c r="K287" s="1">
        <v>187.8</v>
      </c>
      <c r="L287" s="1">
        <v>159.5</v>
      </c>
      <c r="M287" s="1">
        <v>113.8</v>
      </c>
      <c r="N287" s="1">
        <v>164.5</v>
      </c>
      <c r="O287" s="1">
        <v>156.1</v>
      </c>
      <c r="P287" s="1">
        <v>164.3</v>
      </c>
      <c r="Q287" s="1">
        <v>159.6</v>
      </c>
      <c r="R287" s="1">
        <v>184.6</v>
      </c>
      <c r="S287" s="1">
        <v>157.5</v>
      </c>
      <c r="T287" s="1">
        <v>152.4</v>
      </c>
      <c r="U287" s="1">
        <v>156.80000000000001</v>
      </c>
      <c r="V287" s="1" t="s">
        <v>38</v>
      </c>
      <c r="W287" s="1">
        <v>150.9</v>
      </c>
      <c r="X287" s="1">
        <v>153.9</v>
      </c>
      <c r="Y287" s="1">
        <v>162.5</v>
      </c>
      <c r="Z287" s="1">
        <v>147.5</v>
      </c>
      <c r="AA287" s="1">
        <v>155.1</v>
      </c>
      <c r="AB287" s="1">
        <v>163.5</v>
      </c>
      <c r="AC287" s="1">
        <v>156.19999999999999</v>
      </c>
      <c r="AD287" s="1">
        <v>155.9</v>
      </c>
      <c r="AE287" s="1">
        <v>158.5</v>
      </c>
      <c r="AF287" s="6">
        <f t="shared" si="16"/>
        <v>158.89999999999998</v>
      </c>
      <c r="AG287" s="6">
        <f t="shared" si="17"/>
        <v>165.20000000000002</v>
      </c>
      <c r="AH287" s="6">
        <f t="shared" si="18"/>
        <v>155.56666666666666</v>
      </c>
      <c r="AI287" s="6">
        <f t="shared" si="19"/>
        <v>153.94999999999999</v>
      </c>
      <c r="AJ287" s="6">
        <f>IFERROR(AVERAGE(Main[[#This Row],[Health]],Main[[#This Row],[Personal care and effects]]),"NA")</f>
        <v>159.35</v>
      </c>
    </row>
    <row r="288" spans="1:36" ht="13.2" x14ac:dyDescent="0.25">
      <c r="A288" s="1" t="s">
        <v>39</v>
      </c>
      <c r="B288" s="1">
        <v>2021</v>
      </c>
      <c r="C288" s="1" t="s">
        <v>37</v>
      </c>
      <c r="D288" s="8">
        <f>DATEVALUE(Main[[#This Row],[Month]]&amp;Main[[#This Row],[Year]])</f>
        <v>44197</v>
      </c>
      <c r="E288" s="1">
        <v>148</v>
      </c>
      <c r="F288" s="1">
        <v>194.8</v>
      </c>
      <c r="G288" s="1">
        <v>178.4</v>
      </c>
      <c r="H288" s="1">
        <v>154.4</v>
      </c>
      <c r="I288" s="1">
        <v>144.1</v>
      </c>
      <c r="J288" s="1">
        <v>152.6</v>
      </c>
      <c r="K288" s="1">
        <v>206.8</v>
      </c>
      <c r="L288" s="1">
        <v>162.1</v>
      </c>
      <c r="M288" s="1">
        <v>116.3</v>
      </c>
      <c r="N288" s="1">
        <v>163</v>
      </c>
      <c r="O288" s="1">
        <v>145.9</v>
      </c>
      <c r="P288" s="1">
        <v>167.2</v>
      </c>
      <c r="Q288" s="1">
        <v>163.4</v>
      </c>
      <c r="R288" s="1">
        <v>191.8</v>
      </c>
      <c r="S288" s="1">
        <v>152.5</v>
      </c>
      <c r="T288" s="1">
        <v>137.30000000000001</v>
      </c>
      <c r="U288" s="1">
        <v>150.19999999999999</v>
      </c>
      <c r="V288" s="1">
        <v>157.69999999999999</v>
      </c>
      <c r="W288" s="1">
        <v>142.9</v>
      </c>
      <c r="X288" s="1">
        <v>145.69999999999999</v>
      </c>
      <c r="Y288" s="1">
        <v>154.1</v>
      </c>
      <c r="Z288" s="1">
        <v>136.9</v>
      </c>
      <c r="AA288" s="1">
        <v>145.4</v>
      </c>
      <c r="AB288" s="1">
        <v>156.1</v>
      </c>
      <c r="AC288" s="1">
        <v>157.69999999999999</v>
      </c>
      <c r="AD288" s="1">
        <v>147.6</v>
      </c>
      <c r="AE288" s="1">
        <v>156</v>
      </c>
      <c r="AF288" s="6">
        <f t="shared" si="16"/>
        <v>161.30769230769232</v>
      </c>
      <c r="AG288" s="6">
        <f t="shared" si="17"/>
        <v>161.60000000000002</v>
      </c>
      <c r="AH288" s="6">
        <f t="shared" si="18"/>
        <v>146.66666666666666</v>
      </c>
      <c r="AI288" s="6">
        <f t="shared" si="19"/>
        <v>147.86000000000001</v>
      </c>
      <c r="AJ288" s="6">
        <f>IFERROR(AVERAGE(Main[[#This Row],[Health]],Main[[#This Row],[Personal care and effects]]),"NA")</f>
        <v>155.89999999999998</v>
      </c>
    </row>
    <row r="289" spans="1:36" ht="13.2" x14ac:dyDescent="0.25">
      <c r="A289" s="1" t="s">
        <v>40</v>
      </c>
      <c r="B289" s="1">
        <v>2021</v>
      </c>
      <c r="C289" s="1" t="s">
        <v>37</v>
      </c>
      <c r="D289" s="8">
        <f>DATEVALUE(Main[[#This Row],[Month]]&amp;Main[[#This Row],[Year]])</f>
        <v>44197</v>
      </c>
      <c r="E289" s="1">
        <v>144.9</v>
      </c>
      <c r="F289" s="1">
        <v>190.1</v>
      </c>
      <c r="G289" s="1">
        <v>175.3</v>
      </c>
      <c r="H289" s="1">
        <v>154.1</v>
      </c>
      <c r="I289" s="1">
        <v>150.9</v>
      </c>
      <c r="J289" s="1">
        <v>149.6</v>
      </c>
      <c r="K289" s="1">
        <v>194.2</v>
      </c>
      <c r="L289" s="1">
        <v>160.4</v>
      </c>
      <c r="M289" s="1">
        <v>114.6</v>
      </c>
      <c r="N289" s="1">
        <v>164</v>
      </c>
      <c r="O289" s="1">
        <v>151.80000000000001</v>
      </c>
      <c r="P289" s="1">
        <v>165.6</v>
      </c>
      <c r="Q289" s="1">
        <v>161</v>
      </c>
      <c r="R289" s="1">
        <v>186.5</v>
      </c>
      <c r="S289" s="1">
        <v>155.5</v>
      </c>
      <c r="T289" s="1">
        <v>146.1</v>
      </c>
      <c r="U289" s="1">
        <v>154.19999999999999</v>
      </c>
      <c r="V289" s="1">
        <v>157.69999999999999</v>
      </c>
      <c r="W289" s="1">
        <v>147.9</v>
      </c>
      <c r="X289" s="1">
        <v>150</v>
      </c>
      <c r="Y289" s="1">
        <v>159.30000000000001</v>
      </c>
      <c r="Z289" s="1">
        <v>141.9</v>
      </c>
      <c r="AA289" s="1">
        <v>149.6</v>
      </c>
      <c r="AB289" s="1">
        <v>159.19999999999999</v>
      </c>
      <c r="AC289" s="1">
        <v>156.80000000000001</v>
      </c>
      <c r="AD289" s="1">
        <v>151.9</v>
      </c>
      <c r="AE289" s="1">
        <v>157.30000000000001</v>
      </c>
      <c r="AF289" s="6">
        <f t="shared" si="16"/>
        <v>159.73076923076923</v>
      </c>
      <c r="AG289" s="6">
        <f t="shared" si="17"/>
        <v>162.66666666666666</v>
      </c>
      <c r="AH289" s="6">
        <f t="shared" si="18"/>
        <v>151.93333333333334</v>
      </c>
      <c r="AI289" s="6">
        <f t="shared" si="19"/>
        <v>151.34</v>
      </c>
      <c r="AJ289" s="6">
        <f>IFERROR(AVERAGE(Main[[#This Row],[Health]],Main[[#This Row],[Personal care and effects]]),"NA")</f>
        <v>158.05000000000001</v>
      </c>
    </row>
    <row r="290" spans="1:36" ht="13.2" x14ac:dyDescent="0.25">
      <c r="A290" s="1" t="s">
        <v>36</v>
      </c>
      <c r="B290" s="1">
        <v>2021</v>
      </c>
      <c r="C290" s="1" t="s">
        <v>41</v>
      </c>
      <c r="D290" s="8">
        <f>DATEVALUE(Main[[#This Row],[Month]]&amp;Main[[#This Row],[Year]])</f>
        <v>44228</v>
      </c>
      <c r="E290" s="1">
        <v>142.80000000000001</v>
      </c>
      <c r="F290" s="1">
        <v>184</v>
      </c>
      <c r="G290" s="1">
        <v>168</v>
      </c>
      <c r="H290" s="1">
        <v>154.4</v>
      </c>
      <c r="I290" s="1">
        <v>163</v>
      </c>
      <c r="J290" s="1">
        <v>147.80000000000001</v>
      </c>
      <c r="K290" s="1">
        <v>149.69999999999999</v>
      </c>
      <c r="L290" s="1">
        <v>158.30000000000001</v>
      </c>
      <c r="M290" s="1">
        <v>111.8</v>
      </c>
      <c r="N290" s="1">
        <v>165</v>
      </c>
      <c r="O290" s="1">
        <v>160</v>
      </c>
      <c r="P290" s="1">
        <v>165.8</v>
      </c>
      <c r="Q290" s="1">
        <v>154.69999999999999</v>
      </c>
      <c r="R290" s="1">
        <v>186.5</v>
      </c>
      <c r="S290" s="1">
        <v>159.1</v>
      </c>
      <c r="T290" s="1">
        <v>153.9</v>
      </c>
      <c r="U290" s="1">
        <v>158.4</v>
      </c>
      <c r="V290" s="1" t="s">
        <v>38</v>
      </c>
      <c r="W290" s="1">
        <v>154.4</v>
      </c>
      <c r="X290" s="1">
        <v>154.80000000000001</v>
      </c>
      <c r="Y290" s="1">
        <v>164.3</v>
      </c>
      <c r="Z290" s="1">
        <v>150.19999999999999</v>
      </c>
      <c r="AA290" s="1">
        <v>157</v>
      </c>
      <c r="AB290" s="1">
        <v>163.6</v>
      </c>
      <c r="AC290" s="1">
        <v>155.19999999999999</v>
      </c>
      <c r="AD290" s="1">
        <v>157.19999999999999</v>
      </c>
      <c r="AE290" s="1">
        <v>156.69999999999999</v>
      </c>
      <c r="AF290" s="6">
        <f t="shared" si="16"/>
        <v>155.7923076923077</v>
      </c>
      <c r="AG290" s="6">
        <f t="shared" si="17"/>
        <v>166.9</v>
      </c>
      <c r="AH290" s="6">
        <f t="shared" si="18"/>
        <v>157.13333333333333</v>
      </c>
      <c r="AI290" s="6">
        <f t="shared" si="19"/>
        <v>155.75</v>
      </c>
      <c r="AJ290" s="6">
        <f>IFERROR(AVERAGE(Main[[#This Row],[Health]],Main[[#This Row],[Personal care and effects]]),"NA")</f>
        <v>159.75</v>
      </c>
    </row>
    <row r="291" spans="1:36" ht="13.2" x14ac:dyDescent="0.25">
      <c r="A291" s="1" t="s">
        <v>39</v>
      </c>
      <c r="B291" s="1">
        <v>2021</v>
      </c>
      <c r="C291" s="1" t="s">
        <v>41</v>
      </c>
      <c r="D291" s="8">
        <f>DATEVALUE(Main[[#This Row],[Month]]&amp;Main[[#This Row],[Year]])</f>
        <v>44228</v>
      </c>
      <c r="E291" s="1">
        <v>147.6</v>
      </c>
      <c r="F291" s="1">
        <v>191.2</v>
      </c>
      <c r="G291" s="1">
        <v>169.9</v>
      </c>
      <c r="H291" s="1">
        <v>155.1</v>
      </c>
      <c r="I291" s="1">
        <v>151.4</v>
      </c>
      <c r="J291" s="1">
        <v>154</v>
      </c>
      <c r="K291" s="1">
        <v>180.2</v>
      </c>
      <c r="L291" s="1">
        <v>159.80000000000001</v>
      </c>
      <c r="M291" s="1">
        <v>114.9</v>
      </c>
      <c r="N291" s="1">
        <v>162.5</v>
      </c>
      <c r="O291" s="1">
        <v>149.19999999999999</v>
      </c>
      <c r="P291" s="1">
        <v>169.4</v>
      </c>
      <c r="Q291" s="1">
        <v>160.80000000000001</v>
      </c>
      <c r="R291" s="1">
        <v>193.3</v>
      </c>
      <c r="S291" s="1">
        <v>154.19999999999999</v>
      </c>
      <c r="T291" s="1">
        <v>138.19999999999999</v>
      </c>
      <c r="U291" s="1">
        <v>151.80000000000001</v>
      </c>
      <c r="V291" s="1">
        <v>159.80000000000001</v>
      </c>
      <c r="W291" s="1">
        <v>149.1</v>
      </c>
      <c r="X291" s="1">
        <v>146.5</v>
      </c>
      <c r="Y291" s="1">
        <v>156.30000000000001</v>
      </c>
      <c r="Z291" s="1">
        <v>140.5</v>
      </c>
      <c r="AA291" s="1">
        <v>147.30000000000001</v>
      </c>
      <c r="AB291" s="1">
        <v>156.6</v>
      </c>
      <c r="AC291" s="1">
        <v>156.69999999999999</v>
      </c>
      <c r="AD291" s="1">
        <v>149.30000000000001</v>
      </c>
      <c r="AE291" s="1">
        <v>156.5</v>
      </c>
      <c r="AF291" s="6">
        <f t="shared" si="16"/>
        <v>158.92307692307693</v>
      </c>
      <c r="AG291" s="6">
        <f t="shared" si="17"/>
        <v>163.30000000000001</v>
      </c>
      <c r="AH291" s="6">
        <f t="shared" si="18"/>
        <v>148.06666666666666</v>
      </c>
      <c r="AI291" s="6">
        <f t="shared" si="19"/>
        <v>150.5</v>
      </c>
      <c r="AJ291" s="6">
        <f>IFERROR(AVERAGE(Main[[#This Row],[Health]],Main[[#This Row],[Personal care and effects]]),"NA")</f>
        <v>156.5</v>
      </c>
    </row>
    <row r="292" spans="1:36" ht="13.2" x14ac:dyDescent="0.25">
      <c r="A292" s="1" t="s">
        <v>40</v>
      </c>
      <c r="B292" s="1">
        <v>2021</v>
      </c>
      <c r="C292" s="1" t="s">
        <v>41</v>
      </c>
      <c r="D292" s="8">
        <f>DATEVALUE(Main[[#This Row],[Month]]&amp;Main[[#This Row],[Year]])</f>
        <v>44228</v>
      </c>
      <c r="E292" s="1">
        <v>144.30000000000001</v>
      </c>
      <c r="F292" s="1">
        <v>186.5</v>
      </c>
      <c r="G292" s="1">
        <v>168.7</v>
      </c>
      <c r="H292" s="1">
        <v>154.69999999999999</v>
      </c>
      <c r="I292" s="1">
        <v>158.69999999999999</v>
      </c>
      <c r="J292" s="1">
        <v>150.69999999999999</v>
      </c>
      <c r="K292" s="1">
        <v>160</v>
      </c>
      <c r="L292" s="1">
        <v>158.80000000000001</v>
      </c>
      <c r="M292" s="1">
        <v>112.8</v>
      </c>
      <c r="N292" s="1">
        <v>164.2</v>
      </c>
      <c r="O292" s="1">
        <v>155.5</v>
      </c>
      <c r="P292" s="1">
        <v>167.5</v>
      </c>
      <c r="Q292" s="1">
        <v>156.9</v>
      </c>
      <c r="R292" s="1">
        <v>188.3</v>
      </c>
      <c r="S292" s="1">
        <v>157.19999999999999</v>
      </c>
      <c r="T292" s="1">
        <v>147.4</v>
      </c>
      <c r="U292" s="1">
        <v>155.80000000000001</v>
      </c>
      <c r="V292" s="1">
        <v>159.80000000000001</v>
      </c>
      <c r="W292" s="1">
        <v>152.4</v>
      </c>
      <c r="X292" s="1">
        <v>150.9</v>
      </c>
      <c r="Y292" s="1">
        <v>161.30000000000001</v>
      </c>
      <c r="Z292" s="1">
        <v>145.1</v>
      </c>
      <c r="AA292" s="1">
        <v>151.5</v>
      </c>
      <c r="AB292" s="1">
        <v>159.5</v>
      </c>
      <c r="AC292" s="1">
        <v>155.80000000000001</v>
      </c>
      <c r="AD292" s="1">
        <v>153.4</v>
      </c>
      <c r="AE292" s="1">
        <v>156.6</v>
      </c>
      <c r="AF292" s="6">
        <f t="shared" si="16"/>
        <v>156.8692307692308</v>
      </c>
      <c r="AG292" s="6">
        <f t="shared" si="17"/>
        <v>164.4</v>
      </c>
      <c r="AH292" s="6">
        <f t="shared" si="18"/>
        <v>153.46666666666667</v>
      </c>
      <c r="AI292" s="6">
        <f t="shared" si="19"/>
        <v>153.54000000000002</v>
      </c>
      <c r="AJ292" s="6">
        <f>IFERROR(AVERAGE(Main[[#This Row],[Health]],Main[[#This Row],[Personal care and effects]]),"NA")</f>
        <v>158.55000000000001</v>
      </c>
    </row>
    <row r="293" spans="1:36" ht="13.2" x14ac:dyDescent="0.25">
      <c r="A293" s="1" t="s">
        <v>36</v>
      </c>
      <c r="B293" s="1">
        <v>2021</v>
      </c>
      <c r="C293" s="1" t="s">
        <v>42</v>
      </c>
      <c r="D293" s="8">
        <f>DATEVALUE(Main[[#This Row],[Month]]&amp;Main[[#This Row],[Year]])</f>
        <v>44256</v>
      </c>
      <c r="E293" s="1">
        <v>142.5</v>
      </c>
      <c r="F293" s="1">
        <v>189.4</v>
      </c>
      <c r="G293" s="1">
        <v>163.19999999999999</v>
      </c>
      <c r="H293" s="1">
        <v>154.5</v>
      </c>
      <c r="I293" s="1">
        <v>168.2</v>
      </c>
      <c r="J293" s="1">
        <v>150.5</v>
      </c>
      <c r="K293" s="1">
        <v>141</v>
      </c>
      <c r="L293" s="1">
        <v>159.19999999999999</v>
      </c>
      <c r="M293" s="1">
        <v>111.7</v>
      </c>
      <c r="N293" s="1">
        <v>164</v>
      </c>
      <c r="O293" s="1">
        <v>160.6</v>
      </c>
      <c r="P293" s="1">
        <v>166.4</v>
      </c>
      <c r="Q293" s="1">
        <v>154.5</v>
      </c>
      <c r="R293" s="1">
        <v>186.1</v>
      </c>
      <c r="S293" s="1">
        <v>159.6</v>
      </c>
      <c r="T293" s="1">
        <v>154.4</v>
      </c>
      <c r="U293" s="1">
        <v>158.9</v>
      </c>
      <c r="V293" s="1" t="s">
        <v>52</v>
      </c>
      <c r="W293" s="1">
        <v>156</v>
      </c>
      <c r="X293" s="1">
        <v>154.80000000000001</v>
      </c>
      <c r="Y293" s="1">
        <v>164.6</v>
      </c>
      <c r="Z293" s="1">
        <v>151.30000000000001</v>
      </c>
      <c r="AA293" s="1">
        <v>157.80000000000001</v>
      </c>
      <c r="AB293" s="1">
        <v>163.80000000000001</v>
      </c>
      <c r="AC293" s="1">
        <v>153.1</v>
      </c>
      <c r="AD293" s="1">
        <v>157.30000000000001</v>
      </c>
      <c r="AE293" s="1">
        <v>156.69999999999999</v>
      </c>
      <c r="AF293" s="6">
        <f t="shared" si="16"/>
        <v>155.82307692307694</v>
      </c>
      <c r="AG293" s="6">
        <f t="shared" si="17"/>
        <v>167.06666666666666</v>
      </c>
      <c r="AH293" s="6">
        <f t="shared" si="18"/>
        <v>157.63333333333333</v>
      </c>
      <c r="AI293" s="6">
        <f t="shared" si="19"/>
        <v>156.47500000000002</v>
      </c>
      <c r="AJ293" s="6">
        <f>IFERROR(AVERAGE(Main[[#This Row],[Health]],Main[[#This Row],[Personal care and effects]]),"NA")</f>
        <v>158.85</v>
      </c>
    </row>
    <row r="294" spans="1:36" ht="13.2" x14ac:dyDescent="0.25">
      <c r="A294" s="1" t="s">
        <v>39</v>
      </c>
      <c r="B294" s="1">
        <v>2021</v>
      </c>
      <c r="C294" s="1" t="s">
        <v>42</v>
      </c>
      <c r="D294" s="8">
        <f>DATEVALUE(Main[[#This Row],[Month]]&amp;Main[[#This Row],[Year]])</f>
        <v>44256</v>
      </c>
      <c r="E294" s="1">
        <v>147.5</v>
      </c>
      <c r="F294" s="1">
        <v>197.5</v>
      </c>
      <c r="G294" s="1">
        <v>164.7</v>
      </c>
      <c r="H294" s="1">
        <v>155.6</v>
      </c>
      <c r="I294" s="1">
        <v>156.4</v>
      </c>
      <c r="J294" s="1">
        <v>157.30000000000001</v>
      </c>
      <c r="K294" s="1">
        <v>166.1</v>
      </c>
      <c r="L294" s="1">
        <v>161.1</v>
      </c>
      <c r="M294" s="1">
        <v>114.3</v>
      </c>
      <c r="N294" s="1">
        <v>162.6</v>
      </c>
      <c r="O294" s="1">
        <v>150.69999999999999</v>
      </c>
      <c r="P294" s="1">
        <v>170.3</v>
      </c>
      <c r="Q294" s="1">
        <v>160.4</v>
      </c>
      <c r="R294" s="1">
        <v>193.5</v>
      </c>
      <c r="S294" s="1">
        <v>155.1</v>
      </c>
      <c r="T294" s="1">
        <v>138.69999999999999</v>
      </c>
      <c r="U294" s="1">
        <v>152.6</v>
      </c>
      <c r="V294" s="1">
        <v>159.9</v>
      </c>
      <c r="W294" s="1">
        <v>154.80000000000001</v>
      </c>
      <c r="X294" s="1">
        <v>147.19999999999999</v>
      </c>
      <c r="Y294" s="1">
        <v>156.9</v>
      </c>
      <c r="Z294" s="1">
        <v>141.69999999999999</v>
      </c>
      <c r="AA294" s="1">
        <v>148.6</v>
      </c>
      <c r="AB294" s="1">
        <v>157.6</v>
      </c>
      <c r="AC294" s="1">
        <v>154.9</v>
      </c>
      <c r="AD294" s="1">
        <v>150</v>
      </c>
      <c r="AE294" s="1">
        <v>156.9</v>
      </c>
      <c r="AF294" s="6">
        <f t="shared" si="16"/>
        <v>158.80769230769226</v>
      </c>
      <c r="AG294" s="6">
        <f t="shared" si="17"/>
        <v>164.03333333333333</v>
      </c>
      <c r="AH294" s="6">
        <f t="shared" si="18"/>
        <v>148.79999999999998</v>
      </c>
      <c r="AI294" s="6">
        <f t="shared" si="19"/>
        <v>152.24</v>
      </c>
      <c r="AJ294" s="6">
        <f>IFERROR(AVERAGE(Main[[#This Row],[Health]],Main[[#This Row],[Personal care and effects]]),"NA")</f>
        <v>155.9</v>
      </c>
    </row>
    <row r="295" spans="1:36" ht="13.2" x14ac:dyDescent="0.25">
      <c r="A295" s="1" t="s">
        <v>40</v>
      </c>
      <c r="B295" s="1">
        <v>2021</v>
      </c>
      <c r="C295" s="1" t="s">
        <v>42</v>
      </c>
      <c r="D295" s="8">
        <f>DATEVALUE(Main[[#This Row],[Month]]&amp;Main[[#This Row],[Year]])</f>
        <v>44256</v>
      </c>
      <c r="E295" s="1">
        <v>144.1</v>
      </c>
      <c r="F295" s="1">
        <v>192.2</v>
      </c>
      <c r="G295" s="1">
        <v>163.80000000000001</v>
      </c>
      <c r="H295" s="1">
        <v>154.9</v>
      </c>
      <c r="I295" s="1">
        <v>163.9</v>
      </c>
      <c r="J295" s="1">
        <v>153.69999999999999</v>
      </c>
      <c r="K295" s="1">
        <v>149.5</v>
      </c>
      <c r="L295" s="1">
        <v>159.80000000000001</v>
      </c>
      <c r="M295" s="1">
        <v>112.6</v>
      </c>
      <c r="N295" s="1">
        <v>163.5</v>
      </c>
      <c r="O295" s="1">
        <v>156.5</v>
      </c>
      <c r="P295" s="1">
        <v>168.2</v>
      </c>
      <c r="Q295" s="1">
        <v>156.69999999999999</v>
      </c>
      <c r="R295" s="1">
        <v>188.1</v>
      </c>
      <c r="S295" s="1">
        <v>157.80000000000001</v>
      </c>
      <c r="T295" s="1">
        <v>147.9</v>
      </c>
      <c r="U295" s="1">
        <v>156.4</v>
      </c>
      <c r="V295" s="1">
        <v>159.9</v>
      </c>
      <c r="W295" s="1">
        <v>155.5</v>
      </c>
      <c r="X295" s="1">
        <v>151.19999999999999</v>
      </c>
      <c r="Y295" s="1">
        <v>161.69999999999999</v>
      </c>
      <c r="Z295" s="1">
        <v>146.19999999999999</v>
      </c>
      <c r="AA295" s="1">
        <v>152.6</v>
      </c>
      <c r="AB295" s="1">
        <v>160.19999999999999</v>
      </c>
      <c r="AC295" s="1">
        <v>153.80000000000001</v>
      </c>
      <c r="AD295" s="1">
        <v>153.80000000000001</v>
      </c>
      <c r="AE295" s="1">
        <v>156.80000000000001</v>
      </c>
      <c r="AF295" s="6">
        <f t="shared" si="16"/>
        <v>156.87692307692308</v>
      </c>
      <c r="AG295" s="6">
        <f t="shared" si="17"/>
        <v>164.83333333333334</v>
      </c>
      <c r="AH295" s="6">
        <f t="shared" si="18"/>
        <v>154.03333333333333</v>
      </c>
      <c r="AI295" s="6">
        <f t="shared" si="19"/>
        <v>154.6</v>
      </c>
      <c r="AJ295" s="6">
        <f>IFERROR(AVERAGE(Main[[#This Row],[Health]],Main[[#This Row],[Personal care and effects]]),"NA")</f>
        <v>157.75</v>
      </c>
    </row>
    <row r="296" spans="1:36" ht="13.2" x14ac:dyDescent="0.25">
      <c r="A296" s="1" t="s">
        <v>36</v>
      </c>
      <c r="B296" s="1">
        <v>2021</v>
      </c>
      <c r="C296" s="1" t="s">
        <v>43</v>
      </c>
      <c r="D296" s="8">
        <f>DATEVALUE(Main[[#This Row],[Month]]&amp;Main[[#This Row],[Year]])</f>
        <v>44287</v>
      </c>
      <c r="E296" s="1">
        <v>142.69999999999999</v>
      </c>
      <c r="F296" s="1">
        <v>195.5</v>
      </c>
      <c r="G296" s="1">
        <v>163.4</v>
      </c>
      <c r="H296" s="1">
        <v>155</v>
      </c>
      <c r="I296" s="1">
        <v>175.2</v>
      </c>
      <c r="J296" s="1">
        <v>160.6</v>
      </c>
      <c r="K296" s="1">
        <v>135.1</v>
      </c>
      <c r="L296" s="1">
        <v>161.1</v>
      </c>
      <c r="M296" s="1">
        <v>112.2</v>
      </c>
      <c r="N296" s="1">
        <v>164.4</v>
      </c>
      <c r="O296" s="1">
        <v>161.9</v>
      </c>
      <c r="P296" s="1">
        <v>166.8</v>
      </c>
      <c r="Q296" s="1">
        <v>155.6</v>
      </c>
      <c r="R296" s="1">
        <v>186.8</v>
      </c>
      <c r="S296" s="1">
        <v>160.69999999999999</v>
      </c>
      <c r="T296" s="1">
        <v>155.1</v>
      </c>
      <c r="U296" s="1">
        <v>159.9</v>
      </c>
      <c r="V296" s="1" t="s">
        <v>52</v>
      </c>
      <c r="W296" s="1">
        <v>156</v>
      </c>
      <c r="X296" s="1">
        <v>155.5</v>
      </c>
      <c r="Y296" s="1">
        <v>165.3</v>
      </c>
      <c r="Z296" s="1">
        <v>151.69999999999999</v>
      </c>
      <c r="AA296" s="1">
        <v>158.6</v>
      </c>
      <c r="AB296" s="1">
        <v>164.1</v>
      </c>
      <c r="AC296" s="1">
        <v>154.6</v>
      </c>
      <c r="AD296" s="1">
        <v>158</v>
      </c>
      <c r="AE296" s="1">
        <v>157.6</v>
      </c>
      <c r="AF296" s="6">
        <f t="shared" si="16"/>
        <v>157.65384615384616</v>
      </c>
      <c r="AG296" s="6">
        <f t="shared" si="17"/>
        <v>167.79999999999998</v>
      </c>
      <c r="AH296" s="6">
        <f t="shared" si="18"/>
        <v>158.56666666666663</v>
      </c>
      <c r="AI296" s="6">
        <f t="shared" si="19"/>
        <v>156.82499999999999</v>
      </c>
      <c r="AJ296" s="6">
        <f>IFERROR(AVERAGE(Main[[#This Row],[Health]],Main[[#This Row],[Personal care and effects]]),"NA")</f>
        <v>159.94999999999999</v>
      </c>
    </row>
    <row r="297" spans="1:36" ht="13.2" x14ac:dyDescent="0.25">
      <c r="A297" s="1" t="s">
        <v>39</v>
      </c>
      <c r="B297" s="1">
        <v>2021</v>
      </c>
      <c r="C297" s="1" t="s">
        <v>43</v>
      </c>
      <c r="D297" s="8">
        <f>DATEVALUE(Main[[#This Row],[Month]]&amp;Main[[#This Row],[Year]])</f>
        <v>44287</v>
      </c>
      <c r="E297" s="1">
        <v>147.6</v>
      </c>
      <c r="F297" s="1">
        <v>202.5</v>
      </c>
      <c r="G297" s="1">
        <v>166.4</v>
      </c>
      <c r="H297" s="1">
        <v>156</v>
      </c>
      <c r="I297" s="1">
        <v>161.4</v>
      </c>
      <c r="J297" s="1">
        <v>168.8</v>
      </c>
      <c r="K297" s="1">
        <v>161.6</v>
      </c>
      <c r="L297" s="1">
        <v>162.80000000000001</v>
      </c>
      <c r="M297" s="1">
        <v>114.8</v>
      </c>
      <c r="N297" s="1">
        <v>162.80000000000001</v>
      </c>
      <c r="O297" s="1">
        <v>151.5</v>
      </c>
      <c r="P297" s="1">
        <v>171.4</v>
      </c>
      <c r="Q297" s="1">
        <v>162</v>
      </c>
      <c r="R297" s="1">
        <v>194.4</v>
      </c>
      <c r="S297" s="1">
        <v>155.9</v>
      </c>
      <c r="T297" s="1">
        <v>139.30000000000001</v>
      </c>
      <c r="U297" s="1">
        <v>153.4</v>
      </c>
      <c r="V297" s="1">
        <v>161.4</v>
      </c>
      <c r="W297" s="1">
        <v>154.9</v>
      </c>
      <c r="X297" s="1">
        <v>147.6</v>
      </c>
      <c r="Y297" s="1">
        <v>157.5</v>
      </c>
      <c r="Z297" s="1">
        <v>142.1</v>
      </c>
      <c r="AA297" s="1">
        <v>149.1</v>
      </c>
      <c r="AB297" s="1">
        <v>157.6</v>
      </c>
      <c r="AC297" s="1">
        <v>156.6</v>
      </c>
      <c r="AD297" s="1">
        <v>150.5</v>
      </c>
      <c r="AE297" s="1">
        <v>158</v>
      </c>
      <c r="AF297" s="6">
        <f t="shared" si="16"/>
        <v>160.73846153846154</v>
      </c>
      <c r="AG297" s="6">
        <f t="shared" si="17"/>
        <v>164.66666666666666</v>
      </c>
      <c r="AH297" s="6">
        <f t="shared" si="18"/>
        <v>149.53333333333333</v>
      </c>
      <c r="AI297" s="6">
        <f t="shared" si="19"/>
        <v>152.72</v>
      </c>
      <c r="AJ297" s="6">
        <f>IFERROR(AVERAGE(Main[[#This Row],[Health]],Main[[#This Row],[Personal care and effects]]),"NA")</f>
        <v>157.05000000000001</v>
      </c>
    </row>
    <row r="298" spans="1:36" ht="13.2" x14ac:dyDescent="0.25">
      <c r="A298" s="1" t="s">
        <v>40</v>
      </c>
      <c r="B298" s="1">
        <v>2021</v>
      </c>
      <c r="C298" s="1" t="s">
        <v>43</v>
      </c>
      <c r="D298" s="8">
        <f>DATEVALUE(Main[[#This Row],[Month]]&amp;Main[[#This Row],[Year]])</f>
        <v>44287</v>
      </c>
      <c r="E298" s="1">
        <v>144.30000000000001</v>
      </c>
      <c r="F298" s="1">
        <v>198</v>
      </c>
      <c r="G298" s="1">
        <v>164.6</v>
      </c>
      <c r="H298" s="1">
        <v>155.4</v>
      </c>
      <c r="I298" s="1">
        <v>170.1</v>
      </c>
      <c r="J298" s="1">
        <v>164.4</v>
      </c>
      <c r="K298" s="1">
        <v>144.1</v>
      </c>
      <c r="L298" s="1">
        <v>161.69999999999999</v>
      </c>
      <c r="M298" s="1">
        <v>113.1</v>
      </c>
      <c r="N298" s="1">
        <v>163.9</v>
      </c>
      <c r="O298" s="1">
        <v>157.6</v>
      </c>
      <c r="P298" s="1">
        <v>168.9</v>
      </c>
      <c r="Q298" s="1">
        <v>158</v>
      </c>
      <c r="R298" s="1">
        <v>188.8</v>
      </c>
      <c r="S298" s="1">
        <v>158.80000000000001</v>
      </c>
      <c r="T298" s="1">
        <v>148.5</v>
      </c>
      <c r="U298" s="1">
        <v>157.30000000000001</v>
      </c>
      <c r="V298" s="1">
        <v>161.4</v>
      </c>
      <c r="W298" s="1">
        <v>155.6</v>
      </c>
      <c r="X298" s="1">
        <v>151.80000000000001</v>
      </c>
      <c r="Y298" s="1">
        <v>162.30000000000001</v>
      </c>
      <c r="Z298" s="1">
        <v>146.6</v>
      </c>
      <c r="AA298" s="1">
        <v>153.19999999999999</v>
      </c>
      <c r="AB298" s="1">
        <v>160.30000000000001</v>
      </c>
      <c r="AC298" s="1">
        <v>155.4</v>
      </c>
      <c r="AD298" s="1">
        <v>154.4</v>
      </c>
      <c r="AE298" s="1">
        <v>157.80000000000001</v>
      </c>
      <c r="AF298" s="6">
        <f t="shared" si="16"/>
        <v>158.77692307692308</v>
      </c>
      <c r="AG298" s="6">
        <f t="shared" si="17"/>
        <v>165.46666666666667</v>
      </c>
      <c r="AH298" s="6">
        <f t="shared" si="18"/>
        <v>154.86666666666667</v>
      </c>
      <c r="AI298" s="6">
        <f t="shared" si="19"/>
        <v>155.14000000000001</v>
      </c>
      <c r="AJ298" s="6">
        <f>IFERROR(AVERAGE(Main[[#This Row],[Health]],Main[[#This Row],[Personal care and effects]]),"NA")</f>
        <v>158.85000000000002</v>
      </c>
    </row>
    <row r="299" spans="1:36" ht="13.2" x14ac:dyDescent="0.25">
      <c r="A299" s="1" t="s">
        <v>36</v>
      </c>
      <c r="B299" s="1">
        <v>2021</v>
      </c>
      <c r="C299" s="1" t="s">
        <v>44</v>
      </c>
      <c r="D299" s="8">
        <f>DATEVALUE(Main[[#This Row],[Month]]&amp;Main[[#This Row],[Year]])</f>
        <v>44317</v>
      </c>
      <c r="E299" s="1">
        <v>145.1</v>
      </c>
      <c r="F299" s="1">
        <v>198.5</v>
      </c>
      <c r="G299" s="1">
        <v>168.6</v>
      </c>
      <c r="H299" s="1">
        <v>155.80000000000001</v>
      </c>
      <c r="I299" s="1">
        <v>184.4</v>
      </c>
      <c r="J299" s="1">
        <v>162.30000000000001</v>
      </c>
      <c r="K299" s="1">
        <v>138.4</v>
      </c>
      <c r="L299" s="1">
        <v>165.1</v>
      </c>
      <c r="M299" s="1">
        <v>114.3</v>
      </c>
      <c r="N299" s="1">
        <v>169.7</v>
      </c>
      <c r="O299" s="1">
        <v>164.6</v>
      </c>
      <c r="P299" s="1">
        <v>169.8</v>
      </c>
      <c r="Q299" s="1">
        <v>158.69999999999999</v>
      </c>
      <c r="R299" s="1">
        <v>189.6</v>
      </c>
      <c r="S299" s="1">
        <v>165.3</v>
      </c>
      <c r="T299" s="1">
        <v>160.6</v>
      </c>
      <c r="U299" s="1">
        <v>164.5</v>
      </c>
      <c r="V299" s="1" t="s">
        <v>38</v>
      </c>
      <c r="W299" s="1">
        <v>161.69999999999999</v>
      </c>
      <c r="X299" s="1">
        <v>158.80000000000001</v>
      </c>
      <c r="Y299" s="1">
        <v>169.1</v>
      </c>
      <c r="Z299" s="1">
        <v>153.19999999999999</v>
      </c>
      <c r="AA299" s="1">
        <v>160</v>
      </c>
      <c r="AB299" s="1">
        <v>167.6</v>
      </c>
      <c r="AC299" s="1">
        <v>159.30000000000001</v>
      </c>
      <c r="AD299" s="1">
        <v>161.1</v>
      </c>
      <c r="AE299" s="1">
        <v>161.1</v>
      </c>
      <c r="AF299" s="6">
        <f t="shared" si="16"/>
        <v>161.17692307692306</v>
      </c>
      <c r="AG299" s="6">
        <f t="shared" si="17"/>
        <v>170.23333333333335</v>
      </c>
      <c r="AH299" s="6">
        <f t="shared" si="18"/>
        <v>163.46666666666667</v>
      </c>
      <c r="AI299" s="6">
        <f t="shared" si="19"/>
        <v>160.32499999999999</v>
      </c>
      <c r="AJ299" s="6">
        <f>IFERROR(AVERAGE(Main[[#This Row],[Health]],Main[[#This Row],[Personal care and effects]]),"NA")</f>
        <v>164.2</v>
      </c>
    </row>
    <row r="300" spans="1:36" ht="13.2" x14ac:dyDescent="0.25">
      <c r="A300" s="1" t="s">
        <v>39</v>
      </c>
      <c r="B300" s="1">
        <v>2021</v>
      </c>
      <c r="C300" s="1" t="s">
        <v>44</v>
      </c>
      <c r="D300" s="8">
        <f>DATEVALUE(Main[[#This Row],[Month]]&amp;Main[[#This Row],[Year]])</f>
        <v>44317</v>
      </c>
      <c r="E300" s="1">
        <v>148.80000000000001</v>
      </c>
      <c r="F300" s="1">
        <v>204.3</v>
      </c>
      <c r="G300" s="1">
        <v>173</v>
      </c>
      <c r="H300" s="1">
        <v>156.5</v>
      </c>
      <c r="I300" s="1">
        <v>168.8</v>
      </c>
      <c r="J300" s="1">
        <v>172.5</v>
      </c>
      <c r="K300" s="1">
        <v>166.5</v>
      </c>
      <c r="L300" s="1">
        <v>165.9</v>
      </c>
      <c r="M300" s="1">
        <v>115.9</v>
      </c>
      <c r="N300" s="1">
        <v>165.2</v>
      </c>
      <c r="O300" s="1">
        <v>152</v>
      </c>
      <c r="P300" s="1">
        <v>171.1</v>
      </c>
      <c r="Q300" s="1">
        <v>164.2</v>
      </c>
      <c r="R300" s="1">
        <v>198.2</v>
      </c>
      <c r="S300" s="1">
        <v>156.5</v>
      </c>
      <c r="T300" s="1">
        <v>140.19999999999999</v>
      </c>
      <c r="U300" s="1">
        <v>154.1</v>
      </c>
      <c r="V300" s="1">
        <v>161.6</v>
      </c>
      <c r="W300" s="1">
        <v>155.5</v>
      </c>
      <c r="X300" s="1">
        <v>150.1</v>
      </c>
      <c r="Y300" s="1">
        <v>160.4</v>
      </c>
      <c r="Z300" s="1">
        <v>145</v>
      </c>
      <c r="AA300" s="1">
        <v>152.6</v>
      </c>
      <c r="AB300" s="1">
        <v>156.6</v>
      </c>
      <c r="AC300" s="1">
        <v>157.5</v>
      </c>
      <c r="AD300" s="1">
        <v>152.30000000000001</v>
      </c>
      <c r="AE300" s="1">
        <v>159.5</v>
      </c>
      <c r="AF300" s="6">
        <f t="shared" si="16"/>
        <v>163.43846153846155</v>
      </c>
      <c r="AG300" s="6">
        <f t="shared" si="17"/>
        <v>167.7</v>
      </c>
      <c r="AH300" s="6">
        <f t="shared" si="18"/>
        <v>150.26666666666665</v>
      </c>
      <c r="AI300" s="6">
        <f t="shared" si="19"/>
        <v>153.76000000000002</v>
      </c>
      <c r="AJ300" s="6">
        <f>IFERROR(AVERAGE(Main[[#This Row],[Health]],Main[[#This Row],[Personal care and effects]]),"NA")</f>
        <v>158.94999999999999</v>
      </c>
    </row>
    <row r="301" spans="1:36" ht="13.2" x14ac:dyDescent="0.25">
      <c r="A301" s="1" t="s">
        <v>40</v>
      </c>
      <c r="B301" s="1">
        <v>2021</v>
      </c>
      <c r="C301" s="1" t="s">
        <v>44</v>
      </c>
      <c r="D301" s="8">
        <f>DATEVALUE(Main[[#This Row],[Month]]&amp;Main[[#This Row],[Year]])</f>
        <v>44317</v>
      </c>
      <c r="E301" s="1">
        <v>146.30000000000001</v>
      </c>
      <c r="F301" s="1">
        <v>200.5</v>
      </c>
      <c r="G301" s="1">
        <v>170.3</v>
      </c>
      <c r="H301" s="1">
        <v>156.1</v>
      </c>
      <c r="I301" s="1">
        <v>178.7</v>
      </c>
      <c r="J301" s="1">
        <v>167.1</v>
      </c>
      <c r="K301" s="1">
        <v>147.9</v>
      </c>
      <c r="L301" s="1">
        <v>165.4</v>
      </c>
      <c r="M301" s="1">
        <v>114.8</v>
      </c>
      <c r="N301" s="1">
        <v>168.2</v>
      </c>
      <c r="O301" s="1">
        <v>159.30000000000001</v>
      </c>
      <c r="P301" s="1">
        <v>170.4</v>
      </c>
      <c r="Q301" s="1">
        <v>160.69999999999999</v>
      </c>
      <c r="R301" s="1">
        <v>191.9</v>
      </c>
      <c r="S301" s="1">
        <v>161.80000000000001</v>
      </c>
      <c r="T301" s="1">
        <v>152.1</v>
      </c>
      <c r="U301" s="1">
        <v>160.4</v>
      </c>
      <c r="V301" s="1">
        <v>161.6</v>
      </c>
      <c r="W301" s="1">
        <v>159.4</v>
      </c>
      <c r="X301" s="1">
        <v>154.69999999999999</v>
      </c>
      <c r="Y301" s="1">
        <v>165.8</v>
      </c>
      <c r="Z301" s="1">
        <v>148.9</v>
      </c>
      <c r="AA301" s="1">
        <v>155.80000000000001</v>
      </c>
      <c r="AB301" s="1">
        <v>161.19999999999999</v>
      </c>
      <c r="AC301" s="1">
        <v>158.6</v>
      </c>
      <c r="AD301" s="1">
        <v>156.80000000000001</v>
      </c>
      <c r="AE301" s="1">
        <v>160.4</v>
      </c>
      <c r="AF301" s="6">
        <f t="shared" si="16"/>
        <v>161.9769230769231</v>
      </c>
      <c r="AG301" s="6">
        <f t="shared" si="17"/>
        <v>168.16666666666669</v>
      </c>
      <c r="AH301" s="6">
        <f t="shared" si="18"/>
        <v>158.1</v>
      </c>
      <c r="AI301" s="6">
        <f t="shared" si="19"/>
        <v>157.16</v>
      </c>
      <c r="AJ301" s="6">
        <f>IFERROR(AVERAGE(Main[[#This Row],[Health]],Main[[#This Row],[Personal care and effects]]),"NA")</f>
        <v>162.19999999999999</v>
      </c>
    </row>
    <row r="302" spans="1:36" ht="13.2" x14ac:dyDescent="0.25">
      <c r="A302" s="1" t="s">
        <v>36</v>
      </c>
      <c r="B302" s="1">
        <v>2021</v>
      </c>
      <c r="C302" s="1" t="s">
        <v>45</v>
      </c>
      <c r="D302" s="8">
        <f>DATEVALUE(Main[[#This Row],[Month]]&amp;Main[[#This Row],[Year]])</f>
        <v>44348</v>
      </c>
      <c r="E302" s="1">
        <v>145.6</v>
      </c>
      <c r="F302" s="1">
        <v>200.1</v>
      </c>
      <c r="G302" s="1">
        <v>179.3</v>
      </c>
      <c r="H302" s="1">
        <v>156.1</v>
      </c>
      <c r="I302" s="1">
        <v>190.4</v>
      </c>
      <c r="J302" s="1">
        <v>158.6</v>
      </c>
      <c r="K302" s="1">
        <v>144.69999999999999</v>
      </c>
      <c r="L302" s="1">
        <v>165.5</v>
      </c>
      <c r="M302" s="1">
        <v>114.6</v>
      </c>
      <c r="N302" s="1">
        <v>170</v>
      </c>
      <c r="O302" s="1">
        <v>165.5</v>
      </c>
      <c r="P302" s="1">
        <v>171.7</v>
      </c>
      <c r="Q302" s="1">
        <v>160.5</v>
      </c>
      <c r="R302" s="1">
        <v>189.1</v>
      </c>
      <c r="S302" s="1">
        <v>165.3</v>
      </c>
      <c r="T302" s="1">
        <v>159.9</v>
      </c>
      <c r="U302" s="1">
        <v>164.6</v>
      </c>
      <c r="V302" s="1" t="s">
        <v>38</v>
      </c>
      <c r="W302" s="1">
        <v>162.1</v>
      </c>
      <c r="X302" s="1">
        <v>159.19999999999999</v>
      </c>
      <c r="Y302" s="1">
        <v>169.7</v>
      </c>
      <c r="Z302" s="1">
        <v>154.19999999999999</v>
      </c>
      <c r="AA302" s="1">
        <v>160.4</v>
      </c>
      <c r="AB302" s="1">
        <v>166.8</v>
      </c>
      <c r="AC302" s="1">
        <v>159.4</v>
      </c>
      <c r="AD302" s="1">
        <v>161.5</v>
      </c>
      <c r="AE302" s="1">
        <v>162.1</v>
      </c>
      <c r="AF302" s="6">
        <f t="shared" si="16"/>
        <v>163.27692307692308</v>
      </c>
      <c r="AG302" s="6">
        <f t="shared" si="17"/>
        <v>170.33333333333334</v>
      </c>
      <c r="AH302" s="6">
        <f t="shared" si="18"/>
        <v>163.26666666666668</v>
      </c>
      <c r="AI302" s="6">
        <f t="shared" si="19"/>
        <v>160.57499999999999</v>
      </c>
      <c r="AJ302" s="6">
        <f>IFERROR(AVERAGE(Main[[#This Row],[Health]],Main[[#This Row],[Personal care and effects]]),"NA")</f>
        <v>164.55</v>
      </c>
    </row>
    <row r="303" spans="1:36" ht="13.2" x14ac:dyDescent="0.25">
      <c r="A303" s="1" t="s">
        <v>39</v>
      </c>
      <c r="B303" s="1">
        <v>2021</v>
      </c>
      <c r="C303" s="1" t="s">
        <v>45</v>
      </c>
      <c r="D303" s="8">
        <f>DATEVALUE(Main[[#This Row],[Month]]&amp;Main[[#This Row],[Year]])</f>
        <v>44348</v>
      </c>
      <c r="E303" s="1">
        <v>149.19999999999999</v>
      </c>
      <c r="F303" s="1">
        <v>205.5</v>
      </c>
      <c r="G303" s="1">
        <v>182.8</v>
      </c>
      <c r="H303" s="1">
        <v>156.5</v>
      </c>
      <c r="I303" s="1">
        <v>172.2</v>
      </c>
      <c r="J303" s="1">
        <v>171.5</v>
      </c>
      <c r="K303" s="1">
        <v>176.2</v>
      </c>
      <c r="L303" s="1">
        <v>166.9</v>
      </c>
      <c r="M303" s="1">
        <v>116.1</v>
      </c>
      <c r="N303" s="1">
        <v>165.5</v>
      </c>
      <c r="O303" s="1">
        <v>152.30000000000001</v>
      </c>
      <c r="P303" s="1">
        <v>173.3</v>
      </c>
      <c r="Q303" s="1">
        <v>166.2</v>
      </c>
      <c r="R303" s="1">
        <v>195.6</v>
      </c>
      <c r="S303" s="1">
        <v>157.30000000000001</v>
      </c>
      <c r="T303" s="1">
        <v>140.5</v>
      </c>
      <c r="U303" s="1">
        <v>154.80000000000001</v>
      </c>
      <c r="V303" s="1">
        <v>160.5</v>
      </c>
      <c r="W303" s="1">
        <v>156.1</v>
      </c>
      <c r="X303" s="1">
        <v>149.80000000000001</v>
      </c>
      <c r="Y303" s="1">
        <v>160.80000000000001</v>
      </c>
      <c r="Z303" s="1">
        <v>147.5</v>
      </c>
      <c r="AA303" s="1">
        <v>150.69999999999999</v>
      </c>
      <c r="AB303" s="1">
        <v>158.1</v>
      </c>
      <c r="AC303" s="1">
        <v>158</v>
      </c>
      <c r="AD303" s="1">
        <v>153.4</v>
      </c>
      <c r="AE303" s="1">
        <v>160.4</v>
      </c>
      <c r="AF303" s="6">
        <f t="shared" si="16"/>
        <v>165.7076923076923</v>
      </c>
      <c r="AG303" s="6">
        <f t="shared" si="17"/>
        <v>166.56666666666663</v>
      </c>
      <c r="AH303" s="6">
        <f t="shared" si="18"/>
        <v>150.86666666666667</v>
      </c>
      <c r="AI303" s="6">
        <f t="shared" si="19"/>
        <v>154.40000000000003</v>
      </c>
      <c r="AJ303" s="6">
        <f>IFERROR(AVERAGE(Main[[#This Row],[Health]],Main[[#This Row],[Personal care and effects]]),"NA")</f>
        <v>159.4</v>
      </c>
    </row>
    <row r="304" spans="1:36" ht="13.2" x14ac:dyDescent="0.25">
      <c r="A304" s="1" t="s">
        <v>40</v>
      </c>
      <c r="B304" s="1">
        <v>2021</v>
      </c>
      <c r="C304" s="1" t="s">
        <v>45</v>
      </c>
      <c r="D304" s="8">
        <f>DATEVALUE(Main[[#This Row],[Month]]&amp;Main[[#This Row],[Year]])</f>
        <v>44348</v>
      </c>
      <c r="E304" s="1">
        <v>146.69999999999999</v>
      </c>
      <c r="F304" s="1">
        <v>202</v>
      </c>
      <c r="G304" s="1">
        <v>180.7</v>
      </c>
      <c r="H304" s="1">
        <v>156.19999999999999</v>
      </c>
      <c r="I304" s="1">
        <v>183.7</v>
      </c>
      <c r="J304" s="1">
        <v>164.6</v>
      </c>
      <c r="K304" s="1">
        <v>155.4</v>
      </c>
      <c r="L304" s="1">
        <v>166</v>
      </c>
      <c r="M304" s="1">
        <v>115.1</v>
      </c>
      <c r="N304" s="1">
        <v>168.5</v>
      </c>
      <c r="O304" s="1">
        <v>160</v>
      </c>
      <c r="P304" s="1">
        <v>172.4</v>
      </c>
      <c r="Q304" s="1">
        <v>162.6</v>
      </c>
      <c r="R304" s="1">
        <v>190.8</v>
      </c>
      <c r="S304" s="1">
        <v>162.19999999999999</v>
      </c>
      <c r="T304" s="1">
        <v>151.80000000000001</v>
      </c>
      <c r="U304" s="1">
        <v>160.69999999999999</v>
      </c>
      <c r="V304" s="1">
        <v>160.5</v>
      </c>
      <c r="W304" s="1">
        <v>159.80000000000001</v>
      </c>
      <c r="X304" s="1">
        <v>154.80000000000001</v>
      </c>
      <c r="Y304" s="1">
        <v>166.3</v>
      </c>
      <c r="Z304" s="1">
        <v>150.69999999999999</v>
      </c>
      <c r="AA304" s="1">
        <v>154.9</v>
      </c>
      <c r="AB304" s="1">
        <v>161.69999999999999</v>
      </c>
      <c r="AC304" s="1">
        <v>158.80000000000001</v>
      </c>
      <c r="AD304" s="1">
        <v>157.6</v>
      </c>
      <c r="AE304" s="1">
        <v>161.30000000000001</v>
      </c>
      <c r="AF304" s="6">
        <f t="shared" si="16"/>
        <v>164.14615384615385</v>
      </c>
      <c r="AG304" s="6">
        <f t="shared" si="17"/>
        <v>167.76666666666668</v>
      </c>
      <c r="AH304" s="6">
        <f t="shared" si="18"/>
        <v>158.23333333333332</v>
      </c>
      <c r="AI304" s="6">
        <f t="shared" si="19"/>
        <v>157.5</v>
      </c>
      <c r="AJ304" s="6">
        <f>IFERROR(AVERAGE(Main[[#This Row],[Health]],Main[[#This Row],[Personal care and effects]]),"NA")</f>
        <v>162.55000000000001</v>
      </c>
    </row>
    <row r="305" spans="1:36" ht="13.2" x14ac:dyDescent="0.25">
      <c r="A305" s="1" t="s">
        <v>36</v>
      </c>
      <c r="B305" s="1">
        <v>2021</v>
      </c>
      <c r="C305" s="1" t="s">
        <v>46</v>
      </c>
      <c r="D305" s="8">
        <f>DATEVALUE(Main[[#This Row],[Month]]&amp;Main[[#This Row],[Year]])</f>
        <v>44378</v>
      </c>
      <c r="E305" s="1">
        <v>145.1</v>
      </c>
      <c r="F305" s="1">
        <v>204.5</v>
      </c>
      <c r="G305" s="1">
        <v>180.4</v>
      </c>
      <c r="H305" s="1">
        <v>157.1</v>
      </c>
      <c r="I305" s="1">
        <v>188.7</v>
      </c>
      <c r="J305" s="1">
        <v>157.69999999999999</v>
      </c>
      <c r="K305" s="1">
        <v>152.80000000000001</v>
      </c>
      <c r="L305" s="1">
        <v>163.6</v>
      </c>
      <c r="M305" s="1">
        <v>113.9</v>
      </c>
      <c r="N305" s="1">
        <v>169.7</v>
      </c>
      <c r="O305" s="1">
        <v>166.2</v>
      </c>
      <c r="P305" s="1">
        <v>171</v>
      </c>
      <c r="Q305" s="1">
        <v>161.69999999999999</v>
      </c>
      <c r="R305" s="1">
        <v>189.7</v>
      </c>
      <c r="S305" s="1">
        <v>166</v>
      </c>
      <c r="T305" s="1">
        <v>161.1</v>
      </c>
      <c r="U305" s="1">
        <v>165.3</v>
      </c>
      <c r="V305" s="1" t="s">
        <v>38</v>
      </c>
      <c r="W305" s="1">
        <v>162.5</v>
      </c>
      <c r="X305" s="1">
        <v>160.30000000000001</v>
      </c>
      <c r="Y305" s="1">
        <v>170.4</v>
      </c>
      <c r="Z305" s="1">
        <v>157.1</v>
      </c>
      <c r="AA305" s="1">
        <v>160.69999999999999</v>
      </c>
      <c r="AB305" s="1">
        <v>167.2</v>
      </c>
      <c r="AC305" s="1">
        <v>160.4</v>
      </c>
      <c r="AD305" s="1">
        <v>162.80000000000001</v>
      </c>
      <c r="AE305" s="1">
        <v>163.19999999999999</v>
      </c>
      <c r="AF305" s="6">
        <f t="shared" si="16"/>
        <v>164.03076923076924</v>
      </c>
      <c r="AG305" s="6">
        <f t="shared" si="17"/>
        <v>171.06666666666669</v>
      </c>
      <c r="AH305" s="6">
        <f t="shared" si="18"/>
        <v>164.13333333333335</v>
      </c>
      <c r="AI305" s="6">
        <f t="shared" si="19"/>
        <v>161.77499999999998</v>
      </c>
      <c r="AJ305" s="6">
        <f>IFERROR(AVERAGE(Main[[#This Row],[Health]],Main[[#This Row],[Personal care and effects]]),"NA")</f>
        <v>165.4</v>
      </c>
    </row>
    <row r="306" spans="1:36" ht="13.2" x14ac:dyDescent="0.25">
      <c r="A306" s="1" t="s">
        <v>39</v>
      </c>
      <c r="B306" s="1">
        <v>2021</v>
      </c>
      <c r="C306" s="1" t="s">
        <v>46</v>
      </c>
      <c r="D306" s="8">
        <f>DATEVALUE(Main[[#This Row],[Month]]&amp;Main[[#This Row],[Year]])</f>
        <v>44378</v>
      </c>
      <c r="E306" s="1">
        <v>149.1</v>
      </c>
      <c r="F306" s="1">
        <v>210.9</v>
      </c>
      <c r="G306" s="1">
        <v>185</v>
      </c>
      <c r="H306" s="1">
        <v>158.19999999999999</v>
      </c>
      <c r="I306" s="1">
        <v>170.6</v>
      </c>
      <c r="J306" s="1">
        <v>170.9</v>
      </c>
      <c r="K306" s="1">
        <v>186.4</v>
      </c>
      <c r="L306" s="1">
        <v>164.7</v>
      </c>
      <c r="M306" s="1">
        <v>115.7</v>
      </c>
      <c r="N306" s="1">
        <v>165.5</v>
      </c>
      <c r="O306" s="1">
        <v>153.4</v>
      </c>
      <c r="P306" s="1">
        <v>173.5</v>
      </c>
      <c r="Q306" s="1">
        <v>167.9</v>
      </c>
      <c r="R306" s="1">
        <v>195.5</v>
      </c>
      <c r="S306" s="1">
        <v>157.9</v>
      </c>
      <c r="T306" s="1">
        <v>141.9</v>
      </c>
      <c r="U306" s="1">
        <v>155.5</v>
      </c>
      <c r="V306" s="1">
        <v>161.5</v>
      </c>
      <c r="W306" s="1">
        <v>157.69999999999999</v>
      </c>
      <c r="X306" s="1">
        <v>150.69999999999999</v>
      </c>
      <c r="Y306" s="1">
        <v>161.5</v>
      </c>
      <c r="Z306" s="1">
        <v>149.5</v>
      </c>
      <c r="AA306" s="1">
        <v>151.19999999999999</v>
      </c>
      <c r="AB306" s="1">
        <v>160.30000000000001</v>
      </c>
      <c r="AC306" s="1">
        <v>159.6</v>
      </c>
      <c r="AD306" s="1">
        <v>155</v>
      </c>
      <c r="AE306" s="1">
        <v>161.80000000000001</v>
      </c>
      <c r="AF306" s="6">
        <f t="shared" si="16"/>
        <v>167.06153846153848</v>
      </c>
      <c r="AG306" s="6">
        <f t="shared" si="17"/>
        <v>167.23333333333332</v>
      </c>
      <c r="AH306" s="6">
        <f t="shared" si="18"/>
        <v>151.76666666666668</v>
      </c>
      <c r="AI306" s="6">
        <f t="shared" si="19"/>
        <v>155.94</v>
      </c>
      <c r="AJ306" s="6">
        <f>IFERROR(AVERAGE(Main[[#This Row],[Health]],Main[[#This Row],[Personal care and effects]]),"NA")</f>
        <v>160.55000000000001</v>
      </c>
    </row>
    <row r="307" spans="1:36" ht="13.2" x14ac:dyDescent="0.25">
      <c r="A307" s="1" t="s">
        <v>40</v>
      </c>
      <c r="B307" s="1">
        <v>2021</v>
      </c>
      <c r="C307" s="1" t="s">
        <v>46</v>
      </c>
      <c r="D307" s="8">
        <f>DATEVALUE(Main[[#This Row],[Month]]&amp;Main[[#This Row],[Year]])</f>
        <v>44378</v>
      </c>
      <c r="E307" s="1">
        <v>146.4</v>
      </c>
      <c r="F307" s="1">
        <v>206.8</v>
      </c>
      <c r="G307" s="1">
        <v>182.2</v>
      </c>
      <c r="H307" s="1">
        <v>157.5</v>
      </c>
      <c r="I307" s="1">
        <v>182.1</v>
      </c>
      <c r="J307" s="1">
        <v>163.9</v>
      </c>
      <c r="K307" s="1">
        <v>164.2</v>
      </c>
      <c r="L307" s="1">
        <v>164</v>
      </c>
      <c r="M307" s="1">
        <v>114.5</v>
      </c>
      <c r="N307" s="1">
        <v>168.3</v>
      </c>
      <c r="O307" s="1">
        <v>160.9</v>
      </c>
      <c r="P307" s="1">
        <v>172.2</v>
      </c>
      <c r="Q307" s="1">
        <v>164</v>
      </c>
      <c r="R307" s="1">
        <v>191.2</v>
      </c>
      <c r="S307" s="1">
        <v>162.80000000000001</v>
      </c>
      <c r="T307" s="1">
        <v>153.1</v>
      </c>
      <c r="U307" s="1">
        <v>161.4</v>
      </c>
      <c r="V307" s="1">
        <v>161.5</v>
      </c>
      <c r="W307" s="1">
        <v>160.69999999999999</v>
      </c>
      <c r="X307" s="1">
        <v>155.80000000000001</v>
      </c>
      <c r="Y307" s="1">
        <v>167</v>
      </c>
      <c r="Z307" s="1">
        <v>153.1</v>
      </c>
      <c r="AA307" s="1">
        <v>155.30000000000001</v>
      </c>
      <c r="AB307" s="1">
        <v>163.19999999999999</v>
      </c>
      <c r="AC307" s="1">
        <v>160.1</v>
      </c>
      <c r="AD307" s="1">
        <v>159</v>
      </c>
      <c r="AE307" s="1">
        <v>162.5</v>
      </c>
      <c r="AF307" s="6">
        <f t="shared" si="16"/>
        <v>165.15384615384616</v>
      </c>
      <c r="AG307" s="6">
        <f t="shared" si="17"/>
        <v>168.5</v>
      </c>
      <c r="AH307" s="6">
        <f t="shared" si="18"/>
        <v>159.1</v>
      </c>
      <c r="AI307" s="6">
        <f t="shared" si="19"/>
        <v>158.85999999999999</v>
      </c>
      <c r="AJ307" s="6">
        <f>IFERROR(AVERAGE(Main[[#This Row],[Health]],Main[[#This Row],[Personal care and effects]]),"NA")</f>
        <v>163.55000000000001</v>
      </c>
    </row>
    <row r="308" spans="1:36" ht="13.2" x14ac:dyDescent="0.25">
      <c r="A308" s="1" t="s">
        <v>36</v>
      </c>
      <c r="B308" s="1">
        <v>2021</v>
      </c>
      <c r="C308" s="1" t="s">
        <v>47</v>
      </c>
      <c r="D308" s="8">
        <f>DATEVALUE(Main[[#This Row],[Month]]&amp;Main[[#This Row],[Year]])</f>
        <v>44409</v>
      </c>
      <c r="E308" s="1">
        <v>144.9</v>
      </c>
      <c r="F308" s="1">
        <v>202.3</v>
      </c>
      <c r="G308" s="1">
        <v>176.5</v>
      </c>
      <c r="H308" s="1">
        <v>157.5</v>
      </c>
      <c r="I308" s="1">
        <v>190.9</v>
      </c>
      <c r="J308" s="1">
        <v>155.69999999999999</v>
      </c>
      <c r="K308" s="1">
        <v>153.9</v>
      </c>
      <c r="L308" s="1">
        <v>162.80000000000001</v>
      </c>
      <c r="M308" s="1">
        <v>115.2</v>
      </c>
      <c r="N308" s="1">
        <v>169.8</v>
      </c>
      <c r="O308" s="1">
        <v>167.6</v>
      </c>
      <c r="P308" s="1">
        <v>171.9</v>
      </c>
      <c r="Q308" s="1">
        <v>161.80000000000001</v>
      </c>
      <c r="R308" s="1">
        <v>190.2</v>
      </c>
      <c r="S308" s="1">
        <v>167</v>
      </c>
      <c r="T308" s="1">
        <v>162.6</v>
      </c>
      <c r="U308" s="1">
        <v>166.3</v>
      </c>
      <c r="V308" s="1" t="s">
        <v>38</v>
      </c>
      <c r="W308" s="1">
        <v>163.1</v>
      </c>
      <c r="X308" s="1">
        <v>160.9</v>
      </c>
      <c r="Y308" s="1">
        <v>171.1</v>
      </c>
      <c r="Z308" s="1">
        <v>157.69999999999999</v>
      </c>
      <c r="AA308" s="1">
        <v>161.1</v>
      </c>
      <c r="AB308" s="1">
        <v>167.5</v>
      </c>
      <c r="AC308" s="1">
        <v>160.30000000000001</v>
      </c>
      <c r="AD308" s="1">
        <v>163.30000000000001</v>
      </c>
      <c r="AE308" s="1">
        <v>163.6</v>
      </c>
      <c r="AF308" s="6">
        <f t="shared" si="16"/>
        <v>163.90769230769232</v>
      </c>
      <c r="AG308" s="6">
        <f t="shared" si="17"/>
        <v>171.5333333333333</v>
      </c>
      <c r="AH308" s="6">
        <f t="shared" si="18"/>
        <v>165.3</v>
      </c>
      <c r="AI308" s="6">
        <f t="shared" si="19"/>
        <v>162.30000000000001</v>
      </c>
      <c r="AJ308" s="6">
        <f>IFERROR(AVERAGE(Main[[#This Row],[Health]],Main[[#This Row],[Personal care and effects]]),"NA")</f>
        <v>165.7</v>
      </c>
    </row>
    <row r="309" spans="1:36" ht="13.2" x14ac:dyDescent="0.25">
      <c r="A309" s="1" t="s">
        <v>39</v>
      </c>
      <c r="B309" s="1">
        <v>2021</v>
      </c>
      <c r="C309" s="1" t="s">
        <v>47</v>
      </c>
      <c r="D309" s="8">
        <f>DATEVALUE(Main[[#This Row],[Month]]&amp;Main[[#This Row],[Year]])</f>
        <v>44409</v>
      </c>
      <c r="E309" s="1">
        <v>149.30000000000001</v>
      </c>
      <c r="F309" s="1">
        <v>207.4</v>
      </c>
      <c r="G309" s="1">
        <v>174.1</v>
      </c>
      <c r="H309" s="1">
        <v>159.19999999999999</v>
      </c>
      <c r="I309" s="1">
        <v>175</v>
      </c>
      <c r="J309" s="1">
        <v>161.30000000000001</v>
      </c>
      <c r="K309" s="1">
        <v>183.3</v>
      </c>
      <c r="L309" s="1">
        <v>164.5</v>
      </c>
      <c r="M309" s="1">
        <v>120.4</v>
      </c>
      <c r="N309" s="1">
        <v>166.2</v>
      </c>
      <c r="O309" s="1">
        <v>154.80000000000001</v>
      </c>
      <c r="P309" s="1">
        <v>175.1</v>
      </c>
      <c r="Q309" s="1">
        <v>167.3</v>
      </c>
      <c r="R309" s="1">
        <v>196.5</v>
      </c>
      <c r="S309" s="1">
        <v>159.80000000000001</v>
      </c>
      <c r="T309" s="1">
        <v>143.6</v>
      </c>
      <c r="U309" s="1">
        <v>157.30000000000001</v>
      </c>
      <c r="V309" s="1">
        <v>162.1</v>
      </c>
      <c r="W309" s="1">
        <v>160.69999999999999</v>
      </c>
      <c r="X309" s="1">
        <v>153.19999999999999</v>
      </c>
      <c r="Y309" s="1">
        <v>162.80000000000001</v>
      </c>
      <c r="Z309" s="1">
        <v>150.4</v>
      </c>
      <c r="AA309" s="1">
        <v>153.69999999999999</v>
      </c>
      <c r="AB309" s="1">
        <v>160.4</v>
      </c>
      <c r="AC309" s="1">
        <v>159.6</v>
      </c>
      <c r="AD309" s="1">
        <v>156</v>
      </c>
      <c r="AE309" s="1">
        <v>162.30000000000001</v>
      </c>
      <c r="AF309" s="6">
        <f t="shared" si="16"/>
        <v>165.99230769230769</v>
      </c>
      <c r="AG309" s="6">
        <f t="shared" si="17"/>
        <v>168.73333333333332</v>
      </c>
      <c r="AH309" s="6">
        <f t="shared" si="18"/>
        <v>153.56666666666666</v>
      </c>
      <c r="AI309" s="6">
        <f t="shared" si="19"/>
        <v>157.35999999999999</v>
      </c>
      <c r="AJ309" s="6">
        <f>IFERROR(AVERAGE(Main[[#This Row],[Health]],Main[[#This Row],[Personal care and effects]]),"NA")</f>
        <v>161.19999999999999</v>
      </c>
    </row>
    <row r="310" spans="1:36" ht="13.2" x14ac:dyDescent="0.25">
      <c r="A310" s="1" t="s">
        <v>40</v>
      </c>
      <c r="B310" s="1">
        <v>2021</v>
      </c>
      <c r="C310" s="1" t="s">
        <v>47</v>
      </c>
      <c r="D310" s="8">
        <f>DATEVALUE(Main[[#This Row],[Month]]&amp;Main[[#This Row],[Year]])</f>
        <v>44409</v>
      </c>
      <c r="E310" s="1">
        <v>146.6</v>
      </c>
      <c r="F310" s="1">
        <v>204</v>
      </c>
      <c r="G310" s="1">
        <v>172.8</v>
      </c>
      <c r="H310" s="1">
        <v>158.4</v>
      </c>
      <c r="I310" s="1">
        <v>188</v>
      </c>
      <c r="J310" s="1">
        <v>156.80000000000001</v>
      </c>
      <c r="K310" s="1">
        <v>162.19999999999999</v>
      </c>
      <c r="L310" s="1">
        <v>164.1</v>
      </c>
      <c r="M310" s="1">
        <v>119.7</v>
      </c>
      <c r="N310" s="1">
        <v>168.8</v>
      </c>
      <c r="O310" s="1">
        <v>162.69999999999999</v>
      </c>
      <c r="P310" s="1">
        <v>173.9</v>
      </c>
      <c r="Q310" s="1">
        <v>164</v>
      </c>
      <c r="R310" s="1">
        <v>192.1</v>
      </c>
      <c r="S310" s="1">
        <v>164.5</v>
      </c>
      <c r="T310" s="1">
        <v>155.30000000000001</v>
      </c>
      <c r="U310" s="1">
        <v>163.19999999999999</v>
      </c>
      <c r="V310" s="1">
        <v>162.1</v>
      </c>
      <c r="W310" s="1">
        <v>162.6</v>
      </c>
      <c r="X310" s="1">
        <v>157.5</v>
      </c>
      <c r="Y310" s="1">
        <v>168.4</v>
      </c>
      <c r="Z310" s="1">
        <v>154</v>
      </c>
      <c r="AA310" s="1">
        <v>157.6</v>
      </c>
      <c r="AB310" s="1">
        <v>163.80000000000001</v>
      </c>
      <c r="AC310" s="1">
        <v>160</v>
      </c>
      <c r="AD310" s="1">
        <v>160</v>
      </c>
      <c r="AE310" s="1">
        <v>163.19999999999999</v>
      </c>
      <c r="AF310" s="6">
        <f t="shared" si="16"/>
        <v>164.76923076923077</v>
      </c>
      <c r="AG310" s="6">
        <f t="shared" si="17"/>
        <v>169.9</v>
      </c>
      <c r="AH310" s="6">
        <f t="shared" si="18"/>
        <v>161</v>
      </c>
      <c r="AI310" s="6">
        <f t="shared" si="19"/>
        <v>160</v>
      </c>
      <c r="AJ310" s="6">
        <f>IFERROR(AVERAGE(Main[[#This Row],[Health]],Main[[#This Row],[Personal care and effects]]),"NA")</f>
        <v>164.2</v>
      </c>
    </row>
    <row r="311" spans="1:36" ht="13.2" x14ac:dyDescent="0.25">
      <c r="A311" s="1" t="s">
        <v>36</v>
      </c>
      <c r="B311" s="1">
        <v>2021</v>
      </c>
      <c r="C311" s="1" t="s">
        <v>48</v>
      </c>
      <c r="D311" s="8">
        <f>DATEVALUE(Main[[#This Row],[Month]]&amp;Main[[#This Row],[Year]])</f>
        <v>44440</v>
      </c>
      <c r="E311" s="1">
        <v>145.4</v>
      </c>
      <c r="F311" s="1">
        <v>202.1</v>
      </c>
      <c r="G311" s="1">
        <v>172</v>
      </c>
      <c r="H311" s="1">
        <v>158</v>
      </c>
      <c r="I311" s="1">
        <v>195.5</v>
      </c>
      <c r="J311" s="1">
        <v>152.69999999999999</v>
      </c>
      <c r="K311" s="1">
        <v>151.4</v>
      </c>
      <c r="L311" s="1">
        <v>163.9</v>
      </c>
      <c r="M311" s="1">
        <v>119.3</v>
      </c>
      <c r="N311" s="1">
        <v>170.1</v>
      </c>
      <c r="O311" s="1">
        <v>168.3</v>
      </c>
      <c r="P311" s="1">
        <v>172.8</v>
      </c>
      <c r="Q311" s="1">
        <v>162.1</v>
      </c>
      <c r="R311" s="1">
        <v>190.5</v>
      </c>
      <c r="S311" s="1">
        <v>167.7</v>
      </c>
      <c r="T311" s="1">
        <v>163.6</v>
      </c>
      <c r="U311" s="1">
        <v>167.1</v>
      </c>
      <c r="V311" s="1" t="s">
        <v>38</v>
      </c>
      <c r="W311" s="1">
        <v>163.69999999999999</v>
      </c>
      <c r="X311" s="1">
        <v>161.30000000000001</v>
      </c>
      <c r="Y311" s="1">
        <v>171.9</v>
      </c>
      <c r="Z311" s="1">
        <v>157.80000000000001</v>
      </c>
      <c r="AA311" s="1">
        <v>162.69999999999999</v>
      </c>
      <c r="AB311" s="1">
        <v>168.5</v>
      </c>
      <c r="AC311" s="1">
        <v>160.19999999999999</v>
      </c>
      <c r="AD311" s="1">
        <v>163.80000000000001</v>
      </c>
      <c r="AE311" s="1">
        <v>164</v>
      </c>
      <c r="AF311" s="6">
        <f t="shared" si="16"/>
        <v>164.12307692307692</v>
      </c>
      <c r="AG311" s="6">
        <f t="shared" si="17"/>
        <v>172.33333333333334</v>
      </c>
      <c r="AH311" s="6">
        <f t="shared" si="18"/>
        <v>166.13333333333333</v>
      </c>
      <c r="AI311" s="6">
        <f t="shared" si="19"/>
        <v>162.82499999999999</v>
      </c>
      <c r="AJ311" s="6">
        <f>IFERROR(AVERAGE(Main[[#This Row],[Health]],Main[[#This Row],[Personal care and effects]]),"NA")</f>
        <v>166.05</v>
      </c>
    </row>
    <row r="312" spans="1:36" ht="13.2" x14ac:dyDescent="0.25">
      <c r="A312" s="1" t="s">
        <v>39</v>
      </c>
      <c r="B312" s="1">
        <v>2021</v>
      </c>
      <c r="C312" s="1" t="s">
        <v>48</v>
      </c>
      <c r="D312" s="8">
        <f>DATEVALUE(Main[[#This Row],[Month]]&amp;Main[[#This Row],[Year]])</f>
        <v>44440</v>
      </c>
      <c r="E312" s="1">
        <v>149.30000000000001</v>
      </c>
      <c r="F312" s="1">
        <v>207.4</v>
      </c>
      <c r="G312" s="1">
        <v>174.1</v>
      </c>
      <c r="H312" s="1">
        <v>159.1</v>
      </c>
      <c r="I312" s="1">
        <v>175</v>
      </c>
      <c r="J312" s="1">
        <v>161.19999999999999</v>
      </c>
      <c r="K312" s="1">
        <v>183.5</v>
      </c>
      <c r="L312" s="1">
        <v>164.5</v>
      </c>
      <c r="M312" s="1">
        <v>120.4</v>
      </c>
      <c r="N312" s="1">
        <v>166.2</v>
      </c>
      <c r="O312" s="1">
        <v>154.80000000000001</v>
      </c>
      <c r="P312" s="1">
        <v>175.1</v>
      </c>
      <c r="Q312" s="1">
        <v>167.3</v>
      </c>
      <c r="R312" s="1">
        <v>196.5</v>
      </c>
      <c r="S312" s="1">
        <v>159.80000000000001</v>
      </c>
      <c r="T312" s="1">
        <v>143.6</v>
      </c>
      <c r="U312" s="1">
        <v>157.4</v>
      </c>
      <c r="V312" s="1">
        <v>162.1</v>
      </c>
      <c r="W312" s="1">
        <v>160.80000000000001</v>
      </c>
      <c r="X312" s="1">
        <v>153.30000000000001</v>
      </c>
      <c r="Y312" s="1">
        <v>162.80000000000001</v>
      </c>
      <c r="Z312" s="1">
        <v>150.5</v>
      </c>
      <c r="AA312" s="1">
        <v>153.9</v>
      </c>
      <c r="AB312" s="1">
        <v>160.30000000000001</v>
      </c>
      <c r="AC312" s="1">
        <v>159.6</v>
      </c>
      <c r="AD312" s="1">
        <v>156</v>
      </c>
      <c r="AE312" s="1">
        <v>162.30000000000001</v>
      </c>
      <c r="AF312" s="6">
        <f t="shared" si="16"/>
        <v>165.99230769230769</v>
      </c>
      <c r="AG312" s="6">
        <f t="shared" si="17"/>
        <v>168.79999999999998</v>
      </c>
      <c r="AH312" s="6">
        <f t="shared" si="18"/>
        <v>153.6</v>
      </c>
      <c r="AI312" s="6">
        <f t="shared" si="19"/>
        <v>157.4</v>
      </c>
      <c r="AJ312" s="6">
        <f>IFERROR(AVERAGE(Main[[#This Row],[Health]],Main[[#This Row],[Personal care and effects]]),"NA")</f>
        <v>161.19999999999999</v>
      </c>
    </row>
    <row r="313" spans="1:36" ht="13.2" x14ac:dyDescent="0.25">
      <c r="A313" s="1" t="s">
        <v>40</v>
      </c>
      <c r="B313" s="1">
        <v>2021</v>
      </c>
      <c r="C313" s="1" t="s">
        <v>48</v>
      </c>
      <c r="D313" s="8">
        <f>DATEVALUE(Main[[#This Row],[Month]]&amp;Main[[#This Row],[Year]])</f>
        <v>44440</v>
      </c>
      <c r="E313" s="1">
        <v>146.6</v>
      </c>
      <c r="F313" s="1">
        <v>204</v>
      </c>
      <c r="G313" s="1">
        <v>172.8</v>
      </c>
      <c r="H313" s="1">
        <v>158.4</v>
      </c>
      <c r="I313" s="1">
        <v>188</v>
      </c>
      <c r="J313" s="1">
        <v>156.69999999999999</v>
      </c>
      <c r="K313" s="1">
        <v>162.30000000000001</v>
      </c>
      <c r="L313" s="1">
        <v>164.1</v>
      </c>
      <c r="M313" s="1">
        <v>119.7</v>
      </c>
      <c r="N313" s="1">
        <v>168.8</v>
      </c>
      <c r="O313" s="1">
        <v>162.69999999999999</v>
      </c>
      <c r="P313" s="1">
        <v>173.9</v>
      </c>
      <c r="Q313" s="1">
        <v>164</v>
      </c>
      <c r="R313" s="1">
        <v>192.1</v>
      </c>
      <c r="S313" s="1">
        <v>164.6</v>
      </c>
      <c r="T313" s="1">
        <v>155.30000000000001</v>
      </c>
      <c r="U313" s="1">
        <v>163.30000000000001</v>
      </c>
      <c r="V313" s="1">
        <v>162.1</v>
      </c>
      <c r="W313" s="1">
        <v>162.6</v>
      </c>
      <c r="X313" s="1">
        <v>157.5</v>
      </c>
      <c r="Y313" s="1">
        <v>168.4</v>
      </c>
      <c r="Z313" s="1">
        <v>154</v>
      </c>
      <c r="AA313" s="1">
        <v>157.69999999999999</v>
      </c>
      <c r="AB313" s="1">
        <v>163.69999999999999</v>
      </c>
      <c r="AC313" s="1">
        <v>160</v>
      </c>
      <c r="AD313" s="1">
        <v>160</v>
      </c>
      <c r="AE313" s="1">
        <v>163.19999999999999</v>
      </c>
      <c r="AF313" s="6">
        <f t="shared" si="16"/>
        <v>164.76923076923077</v>
      </c>
      <c r="AG313" s="6">
        <f t="shared" si="17"/>
        <v>169.93333333333331</v>
      </c>
      <c r="AH313" s="6">
        <f t="shared" si="18"/>
        <v>161.06666666666666</v>
      </c>
      <c r="AI313" s="6">
        <f t="shared" si="19"/>
        <v>159.98000000000002</v>
      </c>
      <c r="AJ313" s="6">
        <f>IFERROR(AVERAGE(Main[[#This Row],[Health]],Main[[#This Row],[Personal care and effects]]),"NA")</f>
        <v>164.2</v>
      </c>
    </row>
    <row r="314" spans="1:36" ht="13.2" x14ac:dyDescent="0.25">
      <c r="A314" s="1" t="s">
        <v>36</v>
      </c>
      <c r="B314" s="1">
        <v>2021</v>
      </c>
      <c r="C314" s="1" t="s">
        <v>49</v>
      </c>
      <c r="D314" s="8">
        <f>DATEVALUE(Main[[#This Row],[Month]]&amp;Main[[#This Row],[Year]])</f>
        <v>44470</v>
      </c>
      <c r="E314" s="1">
        <v>146.1</v>
      </c>
      <c r="F314" s="1">
        <v>202.5</v>
      </c>
      <c r="G314" s="1">
        <v>170.1</v>
      </c>
      <c r="H314" s="1">
        <v>158.4</v>
      </c>
      <c r="I314" s="1">
        <v>198.8</v>
      </c>
      <c r="J314" s="1">
        <v>152.6</v>
      </c>
      <c r="K314" s="1">
        <v>170.4</v>
      </c>
      <c r="L314" s="1">
        <v>165.2</v>
      </c>
      <c r="M314" s="1">
        <v>121.6</v>
      </c>
      <c r="N314" s="1">
        <v>170.6</v>
      </c>
      <c r="O314" s="1">
        <v>168.8</v>
      </c>
      <c r="P314" s="1">
        <v>173.6</v>
      </c>
      <c r="Q314" s="1">
        <v>165.5</v>
      </c>
      <c r="R314" s="1">
        <v>191.2</v>
      </c>
      <c r="S314" s="1">
        <v>168.9</v>
      </c>
      <c r="T314" s="1">
        <v>164.8</v>
      </c>
      <c r="U314" s="1">
        <v>168.3</v>
      </c>
      <c r="V314" s="1" t="s">
        <v>38</v>
      </c>
      <c r="W314" s="1">
        <v>165.5</v>
      </c>
      <c r="X314" s="1">
        <v>162</v>
      </c>
      <c r="Y314" s="1">
        <v>172.5</v>
      </c>
      <c r="Z314" s="1">
        <v>159.5</v>
      </c>
      <c r="AA314" s="1">
        <v>163.19999999999999</v>
      </c>
      <c r="AB314" s="1">
        <v>169</v>
      </c>
      <c r="AC314" s="1">
        <v>161.1</v>
      </c>
      <c r="AD314" s="1">
        <v>164.7</v>
      </c>
      <c r="AE314" s="1">
        <v>166.3</v>
      </c>
      <c r="AF314" s="6">
        <f t="shared" si="16"/>
        <v>166.47692307692307</v>
      </c>
      <c r="AG314" s="6">
        <f t="shared" si="17"/>
        <v>173.0333333333333</v>
      </c>
      <c r="AH314" s="6">
        <f t="shared" si="18"/>
        <v>167.33333333333334</v>
      </c>
      <c r="AI314" s="6">
        <f t="shared" si="19"/>
        <v>164</v>
      </c>
      <c r="AJ314" s="6">
        <f>IFERROR(AVERAGE(Main[[#This Row],[Health]],Main[[#This Row],[Personal care and effects]]),"NA")</f>
        <v>166.8</v>
      </c>
    </row>
    <row r="315" spans="1:36" ht="13.2" x14ac:dyDescent="0.25">
      <c r="A315" s="1" t="s">
        <v>39</v>
      </c>
      <c r="B315" s="1">
        <v>2021</v>
      </c>
      <c r="C315" s="1" t="s">
        <v>49</v>
      </c>
      <c r="D315" s="8">
        <f>DATEVALUE(Main[[#This Row],[Month]]&amp;Main[[#This Row],[Year]])</f>
        <v>44470</v>
      </c>
      <c r="E315" s="1">
        <v>150.1</v>
      </c>
      <c r="F315" s="1">
        <v>208.4</v>
      </c>
      <c r="G315" s="1">
        <v>173</v>
      </c>
      <c r="H315" s="1">
        <v>159.19999999999999</v>
      </c>
      <c r="I315" s="1">
        <v>176.6</v>
      </c>
      <c r="J315" s="1">
        <v>159.30000000000001</v>
      </c>
      <c r="K315" s="1">
        <v>214.4</v>
      </c>
      <c r="L315" s="1">
        <v>165.3</v>
      </c>
      <c r="M315" s="1">
        <v>122.5</v>
      </c>
      <c r="N315" s="1">
        <v>166.8</v>
      </c>
      <c r="O315" s="1">
        <v>155.4</v>
      </c>
      <c r="P315" s="1">
        <v>175.9</v>
      </c>
      <c r="Q315" s="1">
        <v>171.5</v>
      </c>
      <c r="R315" s="1">
        <v>197</v>
      </c>
      <c r="S315" s="1">
        <v>160.80000000000001</v>
      </c>
      <c r="T315" s="1">
        <v>144.4</v>
      </c>
      <c r="U315" s="1">
        <v>158.30000000000001</v>
      </c>
      <c r="V315" s="1">
        <v>163.6</v>
      </c>
      <c r="W315" s="1">
        <v>162.19999999999999</v>
      </c>
      <c r="X315" s="1">
        <v>154.30000000000001</v>
      </c>
      <c r="Y315" s="1">
        <v>163.5</v>
      </c>
      <c r="Z315" s="1">
        <v>152.19999999999999</v>
      </c>
      <c r="AA315" s="1">
        <v>155.1</v>
      </c>
      <c r="AB315" s="1">
        <v>160.30000000000001</v>
      </c>
      <c r="AC315" s="1">
        <v>160.30000000000001</v>
      </c>
      <c r="AD315" s="1">
        <v>157</v>
      </c>
      <c r="AE315" s="1">
        <v>164.6</v>
      </c>
      <c r="AF315" s="6">
        <f t="shared" si="16"/>
        <v>169.10769230769236</v>
      </c>
      <c r="AG315" s="6">
        <f t="shared" si="17"/>
        <v>169.70000000000002</v>
      </c>
      <c r="AH315" s="6">
        <f t="shared" si="18"/>
        <v>154.50000000000003</v>
      </c>
      <c r="AI315" s="6">
        <f t="shared" si="19"/>
        <v>158.51999999999998</v>
      </c>
      <c r="AJ315" s="6">
        <f>IFERROR(AVERAGE(Main[[#This Row],[Health]],Main[[#This Row],[Personal care and effects]]),"NA")</f>
        <v>161.9</v>
      </c>
    </row>
    <row r="316" spans="1:36" ht="13.2" x14ac:dyDescent="0.25">
      <c r="A316" s="1" t="s">
        <v>40</v>
      </c>
      <c r="B316" s="1">
        <v>2021</v>
      </c>
      <c r="C316" s="1" t="s">
        <v>49</v>
      </c>
      <c r="D316" s="8">
        <f>DATEVALUE(Main[[#This Row],[Month]]&amp;Main[[#This Row],[Year]])</f>
        <v>44470</v>
      </c>
      <c r="E316" s="1">
        <v>147.4</v>
      </c>
      <c r="F316" s="1">
        <v>204.6</v>
      </c>
      <c r="G316" s="1">
        <v>171.2</v>
      </c>
      <c r="H316" s="1">
        <v>158.69999999999999</v>
      </c>
      <c r="I316" s="1">
        <v>190.6</v>
      </c>
      <c r="J316" s="1">
        <v>155.69999999999999</v>
      </c>
      <c r="K316" s="1">
        <v>185.3</v>
      </c>
      <c r="L316" s="1">
        <v>165.2</v>
      </c>
      <c r="M316" s="1">
        <v>121.9</v>
      </c>
      <c r="N316" s="1">
        <v>169.3</v>
      </c>
      <c r="O316" s="1">
        <v>163.19999999999999</v>
      </c>
      <c r="P316" s="1">
        <v>174.7</v>
      </c>
      <c r="Q316" s="1">
        <v>167.7</v>
      </c>
      <c r="R316" s="1">
        <v>192.7</v>
      </c>
      <c r="S316" s="1">
        <v>165.7</v>
      </c>
      <c r="T316" s="1">
        <v>156.30000000000001</v>
      </c>
      <c r="U316" s="1">
        <v>164.3</v>
      </c>
      <c r="V316" s="1">
        <v>163.6</v>
      </c>
      <c r="W316" s="1">
        <v>164.2</v>
      </c>
      <c r="X316" s="1">
        <v>158.4</v>
      </c>
      <c r="Y316" s="1">
        <v>169.1</v>
      </c>
      <c r="Z316" s="1">
        <v>155.69999999999999</v>
      </c>
      <c r="AA316" s="1">
        <v>158.6</v>
      </c>
      <c r="AB316" s="1">
        <v>163.9</v>
      </c>
      <c r="AC316" s="1">
        <v>160.80000000000001</v>
      </c>
      <c r="AD316" s="1">
        <v>161</v>
      </c>
      <c r="AE316" s="1">
        <v>165.5</v>
      </c>
      <c r="AF316" s="6">
        <f t="shared" si="16"/>
        <v>167.34615384615384</v>
      </c>
      <c r="AG316" s="6">
        <f t="shared" si="17"/>
        <v>170.76666666666665</v>
      </c>
      <c r="AH316" s="6">
        <f t="shared" si="18"/>
        <v>162.1</v>
      </c>
      <c r="AI316" s="6">
        <f t="shared" si="19"/>
        <v>161.15999999999997</v>
      </c>
      <c r="AJ316" s="6">
        <f>IFERROR(AVERAGE(Main[[#This Row],[Health]],Main[[#This Row],[Personal care and effects]]),"NA")</f>
        <v>164.95</v>
      </c>
    </row>
    <row r="317" spans="1:36" ht="13.2" x14ac:dyDescent="0.25">
      <c r="A317" s="1" t="s">
        <v>36</v>
      </c>
      <c r="B317" s="1">
        <v>2021</v>
      </c>
      <c r="C317" s="1" t="s">
        <v>50</v>
      </c>
      <c r="D317" s="8">
        <f>DATEVALUE(Main[[#This Row],[Month]]&amp;Main[[#This Row],[Year]])</f>
        <v>44501</v>
      </c>
      <c r="E317" s="1">
        <v>146.9</v>
      </c>
      <c r="F317" s="1">
        <v>199.8</v>
      </c>
      <c r="G317" s="1">
        <v>171.5</v>
      </c>
      <c r="H317" s="1">
        <v>159.1</v>
      </c>
      <c r="I317" s="1">
        <v>198.4</v>
      </c>
      <c r="J317" s="1">
        <v>153.19999999999999</v>
      </c>
      <c r="K317" s="1">
        <v>183.9</v>
      </c>
      <c r="L317" s="1">
        <v>165.4</v>
      </c>
      <c r="M317" s="1">
        <v>122.1</v>
      </c>
      <c r="N317" s="1">
        <v>170.8</v>
      </c>
      <c r="O317" s="1">
        <v>169.1</v>
      </c>
      <c r="P317" s="1">
        <v>174.3</v>
      </c>
      <c r="Q317" s="1">
        <v>167.5</v>
      </c>
      <c r="R317" s="1">
        <v>191.4</v>
      </c>
      <c r="S317" s="1">
        <v>170.4</v>
      </c>
      <c r="T317" s="1">
        <v>166</v>
      </c>
      <c r="U317" s="1">
        <v>169.8</v>
      </c>
      <c r="V317" s="1" t="s">
        <v>38</v>
      </c>
      <c r="W317" s="1">
        <v>165.3</v>
      </c>
      <c r="X317" s="1">
        <v>162.9</v>
      </c>
      <c r="Y317" s="1">
        <v>173.4</v>
      </c>
      <c r="Z317" s="1">
        <v>158.9</v>
      </c>
      <c r="AA317" s="1">
        <v>163.80000000000001</v>
      </c>
      <c r="AB317" s="1">
        <v>169.3</v>
      </c>
      <c r="AC317" s="1">
        <v>162.4</v>
      </c>
      <c r="AD317" s="1">
        <v>165.2</v>
      </c>
      <c r="AE317" s="1">
        <v>167.6</v>
      </c>
      <c r="AF317" s="6">
        <f t="shared" si="16"/>
        <v>167.84615384615384</v>
      </c>
      <c r="AG317" s="6">
        <f t="shared" si="17"/>
        <v>173.4666666666667</v>
      </c>
      <c r="AH317" s="6">
        <f t="shared" si="18"/>
        <v>168.73333333333332</v>
      </c>
      <c r="AI317" s="6">
        <f t="shared" si="19"/>
        <v>164.10000000000002</v>
      </c>
      <c r="AJ317" s="6">
        <f>IFERROR(AVERAGE(Main[[#This Row],[Health]],Main[[#This Row],[Personal care and effects]]),"NA")</f>
        <v>167.9</v>
      </c>
    </row>
    <row r="318" spans="1:36" ht="13.2" x14ac:dyDescent="0.25">
      <c r="A318" s="1" t="s">
        <v>39</v>
      </c>
      <c r="B318" s="1">
        <v>2021</v>
      </c>
      <c r="C318" s="1" t="s">
        <v>50</v>
      </c>
      <c r="D318" s="8">
        <f>DATEVALUE(Main[[#This Row],[Month]]&amp;Main[[#This Row],[Year]])</f>
        <v>44501</v>
      </c>
      <c r="E318" s="1">
        <v>151</v>
      </c>
      <c r="F318" s="1">
        <v>204.9</v>
      </c>
      <c r="G318" s="1">
        <v>175.4</v>
      </c>
      <c r="H318" s="1">
        <v>159.6</v>
      </c>
      <c r="I318" s="1">
        <v>175.8</v>
      </c>
      <c r="J318" s="1">
        <v>160.30000000000001</v>
      </c>
      <c r="K318" s="1">
        <v>229.1</v>
      </c>
      <c r="L318" s="1">
        <v>165.1</v>
      </c>
      <c r="M318" s="1">
        <v>123.1</v>
      </c>
      <c r="N318" s="1">
        <v>167.2</v>
      </c>
      <c r="O318" s="1">
        <v>156.1</v>
      </c>
      <c r="P318" s="1">
        <v>176.8</v>
      </c>
      <c r="Q318" s="1">
        <v>173.5</v>
      </c>
      <c r="R318" s="1">
        <v>197</v>
      </c>
      <c r="S318" s="1">
        <v>162.30000000000001</v>
      </c>
      <c r="T318" s="1">
        <v>145.30000000000001</v>
      </c>
      <c r="U318" s="1">
        <v>159.69999999999999</v>
      </c>
      <c r="V318" s="1">
        <v>164.2</v>
      </c>
      <c r="W318" s="1">
        <v>161.6</v>
      </c>
      <c r="X318" s="1">
        <v>155.19999999999999</v>
      </c>
      <c r="Y318" s="1">
        <v>164.2</v>
      </c>
      <c r="Z318" s="1">
        <v>151.19999999999999</v>
      </c>
      <c r="AA318" s="1">
        <v>156.69999999999999</v>
      </c>
      <c r="AB318" s="1">
        <v>160.80000000000001</v>
      </c>
      <c r="AC318" s="1">
        <v>161.80000000000001</v>
      </c>
      <c r="AD318" s="1">
        <v>157.30000000000001</v>
      </c>
      <c r="AE318" s="1">
        <v>165.6</v>
      </c>
      <c r="AF318" s="6">
        <f t="shared" si="16"/>
        <v>170.60769230769228</v>
      </c>
      <c r="AG318" s="6">
        <f t="shared" si="17"/>
        <v>170.33333333333334</v>
      </c>
      <c r="AH318" s="6">
        <f t="shared" si="18"/>
        <v>155.76666666666668</v>
      </c>
      <c r="AI318" s="6">
        <f t="shared" si="19"/>
        <v>158.6</v>
      </c>
      <c r="AJ318" s="6">
        <f>IFERROR(AVERAGE(Main[[#This Row],[Health]],Main[[#This Row],[Personal care and effects]]),"NA")</f>
        <v>163</v>
      </c>
    </row>
    <row r="319" spans="1:36" ht="13.2" x14ac:dyDescent="0.25">
      <c r="A319" s="1" t="s">
        <v>40</v>
      </c>
      <c r="B319" s="1">
        <v>2021</v>
      </c>
      <c r="C319" s="1" t="s">
        <v>50</v>
      </c>
      <c r="D319" s="8">
        <f>DATEVALUE(Main[[#This Row],[Month]]&amp;Main[[#This Row],[Year]])</f>
        <v>44501</v>
      </c>
      <c r="E319" s="1">
        <v>148.19999999999999</v>
      </c>
      <c r="F319" s="1">
        <v>201.6</v>
      </c>
      <c r="G319" s="1">
        <v>173</v>
      </c>
      <c r="H319" s="1">
        <v>159.30000000000001</v>
      </c>
      <c r="I319" s="1">
        <v>190.1</v>
      </c>
      <c r="J319" s="1">
        <v>156.5</v>
      </c>
      <c r="K319" s="1">
        <v>199.2</v>
      </c>
      <c r="L319" s="1">
        <v>165.3</v>
      </c>
      <c r="M319" s="1">
        <v>122.4</v>
      </c>
      <c r="N319" s="1">
        <v>169.6</v>
      </c>
      <c r="O319" s="1">
        <v>163.69999999999999</v>
      </c>
      <c r="P319" s="1">
        <v>175.5</v>
      </c>
      <c r="Q319" s="1">
        <v>169.7</v>
      </c>
      <c r="R319" s="1">
        <v>192.9</v>
      </c>
      <c r="S319" s="1">
        <v>167.2</v>
      </c>
      <c r="T319" s="1">
        <v>157.4</v>
      </c>
      <c r="U319" s="1">
        <v>165.8</v>
      </c>
      <c r="V319" s="1">
        <v>164.2</v>
      </c>
      <c r="W319" s="1">
        <v>163.9</v>
      </c>
      <c r="X319" s="1">
        <v>159.30000000000001</v>
      </c>
      <c r="Y319" s="1">
        <v>169.9</v>
      </c>
      <c r="Z319" s="1">
        <v>154.80000000000001</v>
      </c>
      <c r="AA319" s="1">
        <v>159.80000000000001</v>
      </c>
      <c r="AB319" s="1">
        <v>164.3</v>
      </c>
      <c r="AC319" s="1">
        <v>162.19999999999999</v>
      </c>
      <c r="AD319" s="1">
        <v>161.4</v>
      </c>
      <c r="AE319" s="1">
        <v>166.7</v>
      </c>
      <c r="AF319" s="6">
        <f t="shared" si="16"/>
        <v>168.77692307692308</v>
      </c>
      <c r="AG319" s="6">
        <f t="shared" si="17"/>
        <v>171.36666666666667</v>
      </c>
      <c r="AH319" s="6">
        <f t="shared" si="18"/>
        <v>163.46666666666667</v>
      </c>
      <c r="AI319" s="6">
        <f t="shared" si="19"/>
        <v>161.30000000000001</v>
      </c>
      <c r="AJ319" s="6">
        <f>IFERROR(AVERAGE(Main[[#This Row],[Health]],Main[[#This Row],[Personal care and effects]]),"NA")</f>
        <v>166.05</v>
      </c>
    </row>
    <row r="320" spans="1:36" ht="13.2" x14ac:dyDescent="0.25">
      <c r="A320" s="1" t="s">
        <v>36</v>
      </c>
      <c r="B320" s="1">
        <v>2021</v>
      </c>
      <c r="C320" s="1" t="s">
        <v>51</v>
      </c>
      <c r="D320" s="8">
        <f>DATEVALUE(Main[[#This Row],[Month]]&amp;Main[[#This Row],[Year]])</f>
        <v>44531</v>
      </c>
      <c r="E320" s="1">
        <v>147.4</v>
      </c>
      <c r="F320" s="1">
        <v>197</v>
      </c>
      <c r="G320" s="1">
        <v>176.5</v>
      </c>
      <c r="H320" s="1">
        <v>159.80000000000001</v>
      </c>
      <c r="I320" s="1">
        <v>195.8</v>
      </c>
      <c r="J320" s="1">
        <v>152</v>
      </c>
      <c r="K320" s="1">
        <v>172.3</v>
      </c>
      <c r="L320" s="1">
        <v>164.5</v>
      </c>
      <c r="M320" s="1">
        <v>120.6</v>
      </c>
      <c r="N320" s="1">
        <v>171.7</v>
      </c>
      <c r="O320" s="1">
        <v>169.7</v>
      </c>
      <c r="P320" s="1">
        <v>175.1</v>
      </c>
      <c r="Q320" s="1">
        <v>165.8</v>
      </c>
      <c r="R320" s="1">
        <v>190.8</v>
      </c>
      <c r="S320" s="1">
        <v>171.8</v>
      </c>
      <c r="T320" s="1">
        <v>167.3</v>
      </c>
      <c r="U320" s="1">
        <v>171.2</v>
      </c>
      <c r="V320" s="1" t="s">
        <v>38</v>
      </c>
      <c r="W320" s="1">
        <v>165.6</v>
      </c>
      <c r="X320" s="1">
        <v>163.9</v>
      </c>
      <c r="Y320" s="1">
        <v>174</v>
      </c>
      <c r="Z320" s="1">
        <v>160.1</v>
      </c>
      <c r="AA320" s="1">
        <v>164.5</v>
      </c>
      <c r="AB320" s="1">
        <v>169.7</v>
      </c>
      <c r="AC320" s="1">
        <v>162.80000000000001</v>
      </c>
      <c r="AD320" s="1">
        <v>166</v>
      </c>
      <c r="AE320" s="1">
        <v>167</v>
      </c>
      <c r="AF320" s="6">
        <f t="shared" si="16"/>
        <v>166.78461538461536</v>
      </c>
      <c r="AG320" s="6">
        <f t="shared" si="17"/>
        <v>173.76666666666665</v>
      </c>
      <c r="AH320" s="6">
        <f t="shared" si="18"/>
        <v>170.1</v>
      </c>
      <c r="AI320" s="6">
        <f t="shared" si="19"/>
        <v>164.82499999999999</v>
      </c>
      <c r="AJ320" s="6">
        <f>IFERROR(AVERAGE(Main[[#This Row],[Health]],Main[[#This Row],[Personal care and effects]]),"NA")</f>
        <v>168.4</v>
      </c>
    </row>
    <row r="321" spans="1:56" ht="13.2" x14ac:dyDescent="0.25">
      <c r="A321" s="1" t="s">
        <v>39</v>
      </c>
      <c r="B321" s="1">
        <v>2021</v>
      </c>
      <c r="C321" s="1" t="s">
        <v>51</v>
      </c>
      <c r="D321" s="8">
        <f>DATEVALUE(Main[[#This Row],[Month]]&amp;Main[[#This Row],[Year]])</f>
        <v>44531</v>
      </c>
      <c r="E321" s="1">
        <v>151.6</v>
      </c>
      <c r="F321" s="1">
        <v>202.2</v>
      </c>
      <c r="G321" s="1">
        <v>180</v>
      </c>
      <c r="H321" s="1">
        <v>160</v>
      </c>
      <c r="I321" s="1">
        <v>173.5</v>
      </c>
      <c r="J321" s="1">
        <v>158.30000000000001</v>
      </c>
      <c r="K321" s="1">
        <v>219.5</v>
      </c>
      <c r="L321" s="1">
        <v>164.2</v>
      </c>
      <c r="M321" s="1">
        <v>121.9</v>
      </c>
      <c r="N321" s="1">
        <v>168.2</v>
      </c>
      <c r="O321" s="1">
        <v>156.5</v>
      </c>
      <c r="P321" s="1">
        <v>178.2</v>
      </c>
      <c r="Q321" s="1">
        <v>172.2</v>
      </c>
      <c r="R321" s="1">
        <v>196.8</v>
      </c>
      <c r="S321" s="1">
        <v>163.30000000000001</v>
      </c>
      <c r="T321" s="1">
        <v>146.69999999999999</v>
      </c>
      <c r="U321" s="1">
        <v>160.69999999999999</v>
      </c>
      <c r="V321" s="1">
        <v>163.4</v>
      </c>
      <c r="W321" s="1">
        <v>161.69999999999999</v>
      </c>
      <c r="X321" s="1">
        <v>156</v>
      </c>
      <c r="Y321" s="1">
        <v>165.1</v>
      </c>
      <c r="Z321" s="1">
        <v>151.80000000000001</v>
      </c>
      <c r="AA321" s="1">
        <v>157.6</v>
      </c>
      <c r="AB321" s="1">
        <v>160.6</v>
      </c>
      <c r="AC321" s="1">
        <v>162.4</v>
      </c>
      <c r="AD321" s="1">
        <v>157.80000000000001</v>
      </c>
      <c r="AE321" s="1">
        <v>165.2</v>
      </c>
      <c r="AF321" s="6">
        <f t="shared" si="16"/>
        <v>169.71538461538464</v>
      </c>
      <c r="AG321" s="6">
        <f t="shared" si="17"/>
        <v>170.73333333333335</v>
      </c>
      <c r="AH321" s="6">
        <f t="shared" si="18"/>
        <v>156.9</v>
      </c>
      <c r="AI321" s="6">
        <f t="shared" si="19"/>
        <v>158.70000000000002</v>
      </c>
      <c r="AJ321" s="6">
        <f>IFERROR(AVERAGE(Main[[#This Row],[Health]],Main[[#This Row],[Personal care and effects]]),"NA")</f>
        <v>163.75</v>
      </c>
    </row>
    <row r="322" spans="1:56" ht="13.2" x14ac:dyDescent="0.25">
      <c r="A322" s="1" t="s">
        <v>40</v>
      </c>
      <c r="B322" s="1">
        <v>2021</v>
      </c>
      <c r="C322" s="1" t="s">
        <v>51</v>
      </c>
      <c r="D322" s="8">
        <f>DATEVALUE(Main[[#This Row],[Month]]&amp;Main[[#This Row],[Year]])</f>
        <v>44531</v>
      </c>
      <c r="E322" s="1">
        <v>148.69999999999999</v>
      </c>
      <c r="F322" s="1">
        <v>198.8</v>
      </c>
      <c r="G322" s="1">
        <v>177.9</v>
      </c>
      <c r="H322" s="1">
        <v>159.9</v>
      </c>
      <c r="I322" s="1">
        <v>187.6</v>
      </c>
      <c r="J322" s="1">
        <v>154.9</v>
      </c>
      <c r="K322" s="1">
        <v>188.3</v>
      </c>
      <c r="L322" s="1">
        <v>164.4</v>
      </c>
      <c r="M322" s="1">
        <v>121</v>
      </c>
      <c r="N322" s="1">
        <v>170.5</v>
      </c>
      <c r="O322" s="1">
        <v>164.2</v>
      </c>
      <c r="P322" s="1">
        <v>176.5</v>
      </c>
      <c r="Q322" s="1">
        <v>168.2</v>
      </c>
      <c r="R322" s="1">
        <v>192.4</v>
      </c>
      <c r="S322" s="1">
        <v>168.5</v>
      </c>
      <c r="T322" s="1">
        <v>158.69999999999999</v>
      </c>
      <c r="U322" s="1">
        <v>167</v>
      </c>
      <c r="V322" s="1">
        <v>163.4</v>
      </c>
      <c r="W322" s="1">
        <v>164.1</v>
      </c>
      <c r="X322" s="1">
        <v>160.19999999999999</v>
      </c>
      <c r="Y322" s="1">
        <v>170.6</v>
      </c>
      <c r="Z322" s="1">
        <v>155.69999999999999</v>
      </c>
      <c r="AA322" s="1">
        <v>160.6</v>
      </c>
      <c r="AB322" s="1">
        <v>164.4</v>
      </c>
      <c r="AC322" s="1">
        <v>162.6</v>
      </c>
      <c r="AD322" s="1">
        <v>162</v>
      </c>
      <c r="AE322" s="1">
        <v>166.2</v>
      </c>
      <c r="AF322" s="6">
        <f t="shared" ref="AF322:AF373" si="20">IFERROR(AVERAGE(E322:Q322),"NA")</f>
        <v>167.76153846153846</v>
      </c>
      <c r="AG322" s="6">
        <f t="shared" ref="AG322:AG373" si="21">IFERROR(AVERAGE(R322,AA322,AD322),"NA")</f>
        <v>171.66666666666666</v>
      </c>
      <c r="AH322" s="6">
        <f t="shared" ref="AH322:AH373" si="22">IFERROR(AVERAGE(S322:U322),"NA")</f>
        <v>164.73333333333332</v>
      </c>
      <c r="AI322" s="6">
        <f t="shared" ref="AI322:AI373" si="23">IFERROR(AVERAGE(V322,W322,X322,Z322,AB322),"NA")</f>
        <v>161.56</v>
      </c>
      <c r="AJ322" s="6">
        <f>IFERROR(AVERAGE(Main[[#This Row],[Health]],Main[[#This Row],[Personal care and effects]]),"NA")</f>
        <v>166.6</v>
      </c>
    </row>
    <row r="323" spans="1:56" ht="13.2" x14ac:dyDescent="0.25">
      <c r="A323" s="1" t="s">
        <v>36</v>
      </c>
      <c r="B323" s="1">
        <v>2022</v>
      </c>
      <c r="C323" s="1" t="s">
        <v>37</v>
      </c>
      <c r="D323" s="8">
        <f>DATEVALUE(Main[[#This Row],[Month]]&amp;Main[[#This Row],[Year]])</f>
        <v>44562</v>
      </c>
      <c r="E323" s="1">
        <v>148.30000000000001</v>
      </c>
      <c r="F323" s="1">
        <v>196.9</v>
      </c>
      <c r="G323" s="1">
        <v>178</v>
      </c>
      <c r="H323" s="1">
        <v>160.5</v>
      </c>
      <c r="I323" s="1">
        <v>192.6</v>
      </c>
      <c r="J323" s="1">
        <v>151.19999999999999</v>
      </c>
      <c r="K323" s="1">
        <v>159.19999999999999</v>
      </c>
      <c r="L323" s="1">
        <v>164</v>
      </c>
      <c r="M323" s="1">
        <v>119.3</v>
      </c>
      <c r="N323" s="1">
        <v>173.3</v>
      </c>
      <c r="O323" s="1">
        <v>169.8</v>
      </c>
      <c r="P323" s="1">
        <v>175.8</v>
      </c>
      <c r="Q323" s="1">
        <v>164.1</v>
      </c>
      <c r="R323" s="1">
        <v>190.7</v>
      </c>
      <c r="S323" s="1">
        <v>173.2</v>
      </c>
      <c r="T323" s="1">
        <v>169.3</v>
      </c>
      <c r="U323" s="1">
        <v>172.7</v>
      </c>
      <c r="V323" s="1" t="s">
        <v>38</v>
      </c>
      <c r="W323" s="1">
        <v>165.8</v>
      </c>
      <c r="X323" s="1">
        <v>164.9</v>
      </c>
      <c r="Y323" s="1">
        <v>174.7</v>
      </c>
      <c r="Z323" s="1">
        <v>160.80000000000001</v>
      </c>
      <c r="AA323" s="1">
        <v>164.9</v>
      </c>
      <c r="AB323" s="1">
        <v>169.9</v>
      </c>
      <c r="AC323" s="1">
        <v>163.19999999999999</v>
      </c>
      <c r="AD323" s="1">
        <v>166.6</v>
      </c>
      <c r="AE323" s="1">
        <v>166.4</v>
      </c>
      <c r="AF323" s="6">
        <f t="shared" si="20"/>
        <v>165.61538461538461</v>
      </c>
      <c r="AG323" s="6">
        <f t="shared" si="21"/>
        <v>174.06666666666669</v>
      </c>
      <c r="AH323" s="6">
        <f t="shared" si="22"/>
        <v>171.73333333333335</v>
      </c>
      <c r="AI323" s="6">
        <f t="shared" si="23"/>
        <v>165.35000000000002</v>
      </c>
      <c r="AJ323" s="6">
        <f>IFERROR(AVERAGE(Main[[#This Row],[Health]],Main[[#This Row],[Personal care and effects]]),"NA")</f>
        <v>168.95</v>
      </c>
    </row>
    <row r="324" spans="1:56" ht="13.2" x14ac:dyDescent="0.25">
      <c r="A324" s="1" t="s">
        <v>39</v>
      </c>
      <c r="B324" s="1">
        <v>2022</v>
      </c>
      <c r="C324" s="1" t="s">
        <v>37</v>
      </c>
      <c r="D324" s="8">
        <f>DATEVALUE(Main[[#This Row],[Month]]&amp;Main[[#This Row],[Year]])</f>
        <v>44562</v>
      </c>
      <c r="E324" s="1">
        <v>152.19999999999999</v>
      </c>
      <c r="F324" s="1">
        <v>202.1</v>
      </c>
      <c r="G324" s="1">
        <v>180.1</v>
      </c>
      <c r="H324" s="1">
        <v>160.4</v>
      </c>
      <c r="I324" s="1">
        <v>171</v>
      </c>
      <c r="J324" s="1">
        <v>156.5</v>
      </c>
      <c r="K324" s="1">
        <v>203.6</v>
      </c>
      <c r="L324" s="1">
        <v>163.80000000000001</v>
      </c>
      <c r="M324" s="1">
        <v>121.3</v>
      </c>
      <c r="N324" s="1">
        <v>169.8</v>
      </c>
      <c r="O324" s="1">
        <v>156.6</v>
      </c>
      <c r="P324" s="1">
        <v>179</v>
      </c>
      <c r="Q324" s="1">
        <v>170.3</v>
      </c>
      <c r="R324" s="1">
        <v>196.4</v>
      </c>
      <c r="S324" s="1">
        <v>164.7</v>
      </c>
      <c r="T324" s="1">
        <v>148.5</v>
      </c>
      <c r="U324" s="1">
        <v>162.19999999999999</v>
      </c>
      <c r="V324" s="1">
        <v>164.5</v>
      </c>
      <c r="W324" s="1">
        <v>161.6</v>
      </c>
      <c r="X324" s="1">
        <v>156.80000000000001</v>
      </c>
      <c r="Y324" s="1">
        <v>166.1</v>
      </c>
      <c r="Z324" s="1">
        <v>152.69999999999999</v>
      </c>
      <c r="AA324" s="1">
        <v>158.4</v>
      </c>
      <c r="AB324" s="1">
        <v>161</v>
      </c>
      <c r="AC324" s="1">
        <v>162.80000000000001</v>
      </c>
      <c r="AD324" s="1">
        <v>158.6</v>
      </c>
      <c r="AE324" s="1">
        <v>165</v>
      </c>
      <c r="AF324" s="6">
        <f t="shared" si="20"/>
        <v>168.2076923076923</v>
      </c>
      <c r="AG324" s="6">
        <f t="shared" si="21"/>
        <v>171.13333333333333</v>
      </c>
      <c r="AH324" s="6">
        <f t="shared" si="22"/>
        <v>158.46666666666667</v>
      </c>
      <c r="AI324" s="6">
        <f t="shared" si="23"/>
        <v>159.32</v>
      </c>
      <c r="AJ324" s="6">
        <f>IFERROR(AVERAGE(Main[[#This Row],[Health]],Main[[#This Row],[Personal care and effects]]),"NA")</f>
        <v>164.45</v>
      </c>
    </row>
    <row r="325" spans="1:56" ht="13.2" x14ac:dyDescent="0.25">
      <c r="A325" s="1" t="s">
        <v>40</v>
      </c>
      <c r="B325" s="1">
        <v>2022</v>
      </c>
      <c r="C325" s="1" t="s">
        <v>37</v>
      </c>
      <c r="D325" s="8">
        <f>DATEVALUE(Main[[#This Row],[Month]]&amp;Main[[#This Row],[Year]])</f>
        <v>44562</v>
      </c>
      <c r="E325" s="1">
        <v>149.5</v>
      </c>
      <c r="F325" s="1">
        <v>198.7</v>
      </c>
      <c r="G325" s="1">
        <v>178.8</v>
      </c>
      <c r="H325" s="1">
        <v>160.5</v>
      </c>
      <c r="I325" s="1">
        <v>184.7</v>
      </c>
      <c r="J325" s="1">
        <v>153.69999999999999</v>
      </c>
      <c r="K325" s="1">
        <v>174.3</v>
      </c>
      <c r="L325" s="1">
        <v>163.9</v>
      </c>
      <c r="M325" s="1">
        <v>120</v>
      </c>
      <c r="N325" s="1">
        <v>172.1</v>
      </c>
      <c r="O325" s="1">
        <v>164.3</v>
      </c>
      <c r="P325" s="1">
        <v>177.3</v>
      </c>
      <c r="Q325" s="1">
        <v>166.4</v>
      </c>
      <c r="R325" s="1">
        <v>192.2</v>
      </c>
      <c r="S325" s="1">
        <v>169.9</v>
      </c>
      <c r="T325" s="1">
        <v>160.69999999999999</v>
      </c>
      <c r="U325" s="1">
        <v>168.5</v>
      </c>
      <c r="V325" s="1">
        <v>164.5</v>
      </c>
      <c r="W325" s="1">
        <v>164.2</v>
      </c>
      <c r="X325" s="1">
        <v>161.1</v>
      </c>
      <c r="Y325" s="1">
        <v>171.4</v>
      </c>
      <c r="Z325" s="1">
        <v>156.5</v>
      </c>
      <c r="AA325" s="1">
        <v>161.19999999999999</v>
      </c>
      <c r="AB325" s="1">
        <v>164.7</v>
      </c>
      <c r="AC325" s="1">
        <v>163</v>
      </c>
      <c r="AD325" s="1">
        <v>162.69999999999999</v>
      </c>
      <c r="AE325" s="1">
        <v>165.7</v>
      </c>
      <c r="AF325" s="6">
        <f t="shared" si="20"/>
        <v>166.47692307692307</v>
      </c>
      <c r="AG325" s="6">
        <f t="shared" si="21"/>
        <v>172.0333333333333</v>
      </c>
      <c r="AH325" s="6">
        <f t="shared" si="22"/>
        <v>166.36666666666667</v>
      </c>
      <c r="AI325" s="6">
        <f t="shared" si="23"/>
        <v>162.19999999999999</v>
      </c>
      <c r="AJ325" s="6">
        <f>IFERROR(AVERAGE(Main[[#This Row],[Health]],Main[[#This Row],[Personal care and effects]]),"NA")</f>
        <v>167.2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 spans="1:56" ht="13.2" x14ac:dyDescent="0.25">
      <c r="A326" s="1" t="s">
        <v>36</v>
      </c>
      <c r="B326" s="1">
        <v>2022</v>
      </c>
      <c r="C326" s="1" t="s">
        <v>41</v>
      </c>
      <c r="D326" s="8">
        <f>DATEVALUE(Main[[#This Row],[Month]]&amp;Main[[#This Row],[Year]])</f>
        <v>44593</v>
      </c>
      <c r="E326" s="1">
        <v>148.80000000000001</v>
      </c>
      <c r="F326" s="1">
        <v>198.1</v>
      </c>
      <c r="G326" s="1">
        <v>175.5</v>
      </c>
      <c r="H326" s="1">
        <v>160.69999999999999</v>
      </c>
      <c r="I326" s="1">
        <v>192.6</v>
      </c>
      <c r="J326" s="1">
        <v>151.4</v>
      </c>
      <c r="K326" s="1">
        <v>155.19999999999999</v>
      </c>
      <c r="L326" s="1">
        <v>163.9</v>
      </c>
      <c r="M326" s="1">
        <v>118.1</v>
      </c>
      <c r="N326" s="1">
        <v>175.4</v>
      </c>
      <c r="O326" s="1">
        <v>170.5</v>
      </c>
      <c r="P326" s="1">
        <v>176.3</v>
      </c>
      <c r="Q326" s="1">
        <v>163.9</v>
      </c>
      <c r="R326" s="1">
        <v>191.5</v>
      </c>
      <c r="S326" s="1">
        <v>174.1</v>
      </c>
      <c r="T326" s="1">
        <v>171</v>
      </c>
      <c r="U326" s="1">
        <v>173.7</v>
      </c>
      <c r="V326" s="1" t="s">
        <v>38</v>
      </c>
      <c r="W326" s="1">
        <v>167.4</v>
      </c>
      <c r="X326" s="1">
        <v>165.7</v>
      </c>
      <c r="Y326" s="1">
        <v>175.3</v>
      </c>
      <c r="Z326" s="1">
        <v>161.19999999999999</v>
      </c>
      <c r="AA326" s="1">
        <v>165.5</v>
      </c>
      <c r="AB326" s="1">
        <v>170.3</v>
      </c>
      <c r="AC326" s="1">
        <v>164.5</v>
      </c>
      <c r="AD326" s="1">
        <v>167.3</v>
      </c>
      <c r="AE326" s="1">
        <v>166.7</v>
      </c>
      <c r="AF326" s="6">
        <f t="shared" si="20"/>
        <v>165.41538461538462</v>
      </c>
      <c r="AG326" s="6">
        <f t="shared" si="21"/>
        <v>174.76666666666665</v>
      </c>
      <c r="AH326" s="6">
        <f t="shared" si="22"/>
        <v>172.93333333333331</v>
      </c>
      <c r="AI326" s="6">
        <f t="shared" si="23"/>
        <v>166.15</v>
      </c>
      <c r="AJ326" s="6">
        <f>IFERROR(AVERAGE(Main[[#This Row],[Health]],Main[[#This Row],[Personal care and effects]]),"NA")</f>
        <v>169.9</v>
      </c>
    </row>
    <row r="327" spans="1:56" ht="13.2" x14ac:dyDescent="0.25">
      <c r="A327" s="1" t="s">
        <v>39</v>
      </c>
      <c r="B327" s="1">
        <v>2022</v>
      </c>
      <c r="C327" s="1" t="s">
        <v>41</v>
      </c>
      <c r="D327" s="8">
        <f>DATEVALUE(Main[[#This Row],[Month]]&amp;Main[[#This Row],[Year]])</f>
        <v>44593</v>
      </c>
      <c r="E327" s="1">
        <v>152.5</v>
      </c>
      <c r="F327" s="1">
        <v>205.2</v>
      </c>
      <c r="G327" s="1">
        <v>176.4</v>
      </c>
      <c r="H327" s="1">
        <v>160.6</v>
      </c>
      <c r="I327" s="1">
        <v>171.5</v>
      </c>
      <c r="J327" s="1">
        <v>156.4</v>
      </c>
      <c r="K327" s="1">
        <v>198</v>
      </c>
      <c r="L327" s="1">
        <v>163.19999999999999</v>
      </c>
      <c r="M327" s="1">
        <v>120.6</v>
      </c>
      <c r="N327" s="1">
        <v>172.2</v>
      </c>
      <c r="O327" s="1">
        <v>156.69999999999999</v>
      </c>
      <c r="P327" s="1">
        <v>180</v>
      </c>
      <c r="Q327" s="1">
        <v>170.2</v>
      </c>
      <c r="R327" s="1">
        <v>196.5</v>
      </c>
      <c r="S327" s="1">
        <v>165.7</v>
      </c>
      <c r="T327" s="1">
        <v>150.4</v>
      </c>
      <c r="U327" s="1">
        <v>163.4</v>
      </c>
      <c r="V327" s="1">
        <v>165.5</v>
      </c>
      <c r="W327" s="1">
        <v>163</v>
      </c>
      <c r="X327" s="1">
        <v>157.4</v>
      </c>
      <c r="Y327" s="1">
        <v>167.2</v>
      </c>
      <c r="Z327" s="1">
        <v>153.1</v>
      </c>
      <c r="AA327" s="1">
        <v>159.5</v>
      </c>
      <c r="AB327" s="1">
        <v>162</v>
      </c>
      <c r="AC327" s="1">
        <v>164.2</v>
      </c>
      <c r="AD327" s="1">
        <v>159.4</v>
      </c>
      <c r="AE327" s="1">
        <v>165.5</v>
      </c>
      <c r="AF327" s="6">
        <f t="shared" si="20"/>
        <v>167.96153846153845</v>
      </c>
      <c r="AG327" s="6">
        <f t="shared" si="21"/>
        <v>171.79999999999998</v>
      </c>
      <c r="AH327" s="6">
        <f t="shared" si="22"/>
        <v>159.83333333333334</v>
      </c>
      <c r="AI327" s="6">
        <f t="shared" si="23"/>
        <v>160.19999999999999</v>
      </c>
      <c r="AJ327" s="6">
        <f>IFERROR(AVERAGE(Main[[#This Row],[Health]],Main[[#This Row],[Personal care and effects]]),"NA")</f>
        <v>165.7</v>
      </c>
    </row>
    <row r="328" spans="1:56" ht="13.2" x14ac:dyDescent="0.25">
      <c r="A328" s="1" t="s">
        <v>40</v>
      </c>
      <c r="B328" s="1">
        <v>2022</v>
      </c>
      <c r="C328" s="1" t="s">
        <v>41</v>
      </c>
      <c r="D328" s="8">
        <f>DATEVALUE(Main[[#This Row],[Month]]&amp;Main[[#This Row],[Year]])</f>
        <v>44593</v>
      </c>
      <c r="E328" s="1">
        <v>150</v>
      </c>
      <c r="F328" s="1">
        <v>200.6</v>
      </c>
      <c r="G328" s="1">
        <v>175.8</v>
      </c>
      <c r="H328" s="1">
        <v>160.69999999999999</v>
      </c>
      <c r="I328" s="1">
        <v>184.9</v>
      </c>
      <c r="J328" s="1">
        <v>153.69999999999999</v>
      </c>
      <c r="K328" s="1">
        <v>169.7</v>
      </c>
      <c r="L328" s="1">
        <v>163.69999999999999</v>
      </c>
      <c r="M328" s="1">
        <v>118.9</v>
      </c>
      <c r="N328" s="1">
        <v>174.3</v>
      </c>
      <c r="O328" s="1">
        <v>164.7</v>
      </c>
      <c r="P328" s="1">
        <v>178</v>
      </c>
      <c r="Q328" s="1">
        <v>166.2</v>
      </c>
      <c r="R328" s="1">
        <v>192.8</v>
      </c>
      <c r="S328" s="1">
        <v>170.8</v>
      </c>
      <c r="T328" s="1">
        <v>162.4</v>
      </c>
      <c r="U328" s="1">
        <v>169.6</v>
      </c>
      <c r="V328" s="1">
        <v>165.5</v>
      </c>
      <c r="W328" s="1">
        <v>165.7</v>
      </c>
      <c r="X328" s="1">
        <v>161.80000000000001</v>
      </c>
      <c r="Y328" s="1">
        <v>172.2</v>
      </c>
      <c r="Z328" s="1">
        <v>156.9</v>
      </c>
      <c r="AA328" s="1">
        <v>162.1</v>
      </c>
      <c r="AB328" s="1">
        <v>165.4</v>
      </c>
      <c r="AC328" s="1">
        <v>164.4</v>
      </c>
      <c r="AD328" s="1">
        <v>163.5</v>
      </c>
      <c r="AE328" s="1">
        <v>166.1</v>
      </c>
      <c r="AF328" s="6">
        <f t="shared" si="20"/>
        <v>166.24615384615387</v>
      </c>
      <c r="AG328" s="6">
        <f t="shared" si="21"/>
        <v>172.79999999999998</v>
      </c>
      <c r="AH328" s="6">
        <f t="shared" si="22"/>
        <v>167.60000000000002</v>
      </c>
      <c r="AI328" s="6">
        <f t="shared" si="23"/>
        <v>163.06</v>
      </c>
      <c r="AJ328" s="6">
        <f>IFERROR(AVERAGE(Main[[#This Row],[Health]],Main[[#This Row],[Personal care and effects]]),"NA")</f>
        <v>168.3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 spans="1:56" ht="13.2" x14ac:dyDescent="0.25">
      <c r="A329" s="1" t="s">
        <v>36</v>
      </c>
      <c r="B329" s="1">
        <v>2022</v>
      </c>
      <c r="C329" s="1" t="s">
        <v>42</v>
      </c>
      <c r="D329" s="8">
        <f>DATEVALUE(Main[[#This Row],[Month]]&amp;Main[[#This Row],[Year]])</f>
        <v>44621</v>
      </c>
      <c r="E329" s="1">
        <v>150.19999999999999</v>
      </c>
      <c r="F329" s="1">
        <v>208</v>
      </c>
      <c r="G329" s="1">
        <v>167.9</v>
      </c>
      <c r="H329" s="1">
        <v>162</v>
      </c>
      <c r="I329" s="1">
        <v>203.1</v>
      </c>
      <c r="J329" s="1">
        <v>155.9</v>
      </c>
      <c r="K329" s="1">
        <v>155.80000000000001</v>
      </c>
      <c r="L329" s="1">
        <v>164.2</v>
      </c>
      <c r="M329" s="1">
        <v>118.1</v>
      </c>
      <c r="N329" s="1">
        <v>178.7</v>
      </c>
      <c r="O329" s="1">
        <v>171.2</v>
      </c>
      <c r="P329" s="1">
        <v>177.4</v>
      </c>
      <c r="Q329" s="1">
        <v>166.6</v>
      </c>
      <c r="R329" s="1">
        <v>192.3</v>
      </c>
      <c r="S329" s="1">
        <v>175.4</v>
      </c>
      <c r="T329" s="1">
        <v>173.2</v>
      </c>
      <c r="U329" s="1">
        <v>175.1</v>
      </c>
      <c r="V329" s="1" t="s">
        <v>38</v>
      </c>
      <c r="W329" s="1">
        <v>168.9</v>
      </c>
      <c r="X329" s="1">
        <v>166.5</v>
      </c>
      <c r="Y329" s="1">
        <v>176</v>
      </c>
      <c r="Z329" s="1">
        <v>162</v>
      </c>
      <c r="AA329" s="1">
        <v>166.6</v>
      </c>
      <c r="AB329" s="1">
        <v>170.6</v>
      </c>
      <c r="AC329" s="1">
        <v>167.4</v>
      </c>
      <c r="AD329" s="1">
        <v>168.3</v>
      </c>
      <c r="AE329" s="1">
        <v>168.7</v>
      </c>
      <c r="AF329" s="6">
        <f t="shared" si="20"/>
        <v>167.62307692307695</v>
      </c>
      <c r="AG329" s="6">
        <f t="shared" si="21"/>
        <v>175.73333333333335</v>
      </c>
      <c r="AH329" s="6">
        <f t="shared" si="22"/>
        <v>174.56666666666669</v>
      </c>
      <c r="AI329" s="6">
        <f t="shared" si="23"/>
        <v>167</v>
      </c>
      <c r="AJ329" s="6">
        <f>IFERROR(AVERAGE(Main[[#This Row],[Health]],Main[[#This Row],[Personal care and effects]]),"NA")</f>
        <v>171.7</v>
      </c>
    </row>
    <row r="330" spans="1:56" ht="13.2" x14ac:dyDescent="0.25">
      <c r="A330" s="1" t="s">
        <v>39</v>
      </c>
      <c r="B330" s="1">
        <v>2022</v>
      </c>
      <c r="C330" s="1" t="s">
        <v>42</v>
      </c>
      <c r="D330" s="8">
        <f>DATEVALUE(Main[[#This Row],[Month]]&amp;Main[[#This Row],[Year]])</f>
        <v>44621</v>
      </c>
      <c r="E330" s="1">
        <v>153.69999999999999</v>
      </c>
      <c r="F330" s="1">
        <v>215.8</v>
      </c>
      <c r="G330" s="1">
        <v>167.7</v>
      </c>
      <c r="H330" s="1">
        <v>162.6</v>
      </c>
      <c r="I330" s="1">
        <v>180</v>
      </c>
      <c r="J330" s="1">
        <v>159.6</v>
      </c>
      <c r="K330" s="1">
        <v>188.4</v>
      </c>
      <c r="L330" s="1">
        <v>163.4</v>
      </c>
      <c r="M330" s="1">
        <v>120.3</v>
      </c>
      <c r="N330" s="1">
        <v>174.7</v>
      </c>
      <c r="O330" s="1">
        <v>157.1</v>
      </c>
      <c r="P330" s="1">
        <v>181.5</v>
      </c>
      <c r="Q330" s="1">
        <v>171.5</v>
      </c>
      <c r="R330" s="1">
        <v>197.5</v>
      </c>
      <c r="S330" s="1">
        <v>167.1</v>
      </c>
      <c r="T330" s="1">
        <v>152.6</v>
      </c>
      <c r="U330" s="1">
        <v>164.9</v>
      </c>
      <c r="V330" s="1">
        <v>165.3</v>
      </c>
      <c r="W330" s="1">
        <v>164.5</v>
      </c>
      <c r="X330" s="1">
        <v>158.6</v>
      </c>
      <c r="Y330" s="1">
        <v>168.2</v>
      </c>
      <c r="Z330" s="1">
        <v>154.19999999999999</v>
      </c>
      <c r="AA330" s="1">
        <v>160.80000000000001</v>
      </c>
      <c r="AB330" s="1">
        <v>162.69999999999999</v>
      </c>
      <c r="AC330" s="1">
        <v>166.8</v>
      </c>
      <c r="AD330" s="1">
        <v>160.6</v>
      </c>
      <c r="AE330" s="1">
        <v>166.5</v>
      </c>
      <c r="AF330" s="6">
        <f t="shared" si="20"/>
        <v>168.94615384615386</v>
      </c>
      <c r="AG330" s="6">
        <f t="shared" si="21"/>
        <v>172.96666666666667</v>
      </c>
      <c r="AH330" s="6">
        <f t="shared" si="22"/>
        <v>161.53333333333333</v>
      </c>
      <c r="AI330" s="6">
        <f t="shared" si="23"/>
        <v>161.06</v>
      </c>
      <c r="AJ330" s="6">
        <f>IFERROR(AVERAGE(Main[[#This Row],[Health]],Main[[#This Row],[Personal care and effects]]),"NA")</f>
        <v>167.5</v>
      </c>
    </row>
    <row r="331" spans="1:56" ht="13.2" x14ac:dyDescent="0.25">
      <c r="A331" s="1" t="s">
        <v>40</v>
      </c>
      <c r="B331" s="1">
        <v>2022</v>
      </c>
      <c r="C331" s="1" t="s">
        <v>42</v>
      </c>
      <c r="D331" s="8">
        <f>DATEVALUE(Main[[#This Row],[Month]]&amp;Main[[#This Row],[Year]])</f>
        <v>44621</v>
      </c>
      <c r="E331" s="1">
        <v>151.30000000000001</v>
      </c>
      <c r="F331" s="1">
        <v>210.7</v>
      </c>
      <c r="G331" s="1">
        <v>167.8</v>
      </c>
      <c r="H331" s="1">
        <v>162.19999999999999</v>
      </c>
      <c r="I331" s="1">
        <v>194.6</v>
      </c>
      <c r="J331" s="1">
        <v>157.6</v>
      </c>
      <c r="K331" s="1">
        <v>166.9</v>
      </c>
      <c r="L331" s="1">
        <v>163.9</v>
      </c>
      <c r="M331" s="1">
        <v>118.8</v>
      </c>
      <c r="N331" s="1">
        <v>177.4</v>
      </c>
      <c r="O331" s="1">
        <v>165.3</v>
      </c>
      <c r="P331" s="1">
        <v>179.3</v>
      </c>
      <c r="Q331" s="1">
        <v>168.4</v>
      </c>
      <c r="R331" s="1">
        <v>193.7</v>
      </c>
      <c r="S331" s="1">
        <v>172.1</v>
      </c>
      <c r="T331" s="1">
        <v>164.6</v>
      </c>
      <c r="U331" s="1">
        <v>171.1</v>
      </c>
      <c r="V331" s="1">
        <v>165.3</v>
      </c>
      <c r="W331" s="1">
        <v>167.2</v>
      </c>
      <c r="X331" s="1">
        <v>162.80000000000001</v>
      </c>
      <c r="Y331" s="1">
        <v>173</v>
      </c>
      <c r="Z331" s="1">
        <v>157.9</v>
      </c>
      <c r="AA331" s="1">
        <v>163.30000000000001</v>
      </c>
      <c r="AB331" s="1">
        <v>166</v>
      </c>
      <c r="AC331" s="1">
        <v>167.2</v>
      </c>
      <c r="AD331" s="1">
        <v>164.6</v>
      </c>
      <c r="AE331" s="1">
        <v>167.7</v>
      </c>
      <c r="AF331" s="6">
        <f t="shared" si="20"/>
        <v>168.01538461538465</v>
      </c>
      <c r="AG331" s="6">
        <f t="shared" si="21"/>
        <v>173.86666666666667</v>
      </c>
      <c r="AH331" s="6">
        <f t="shared" si="22"/>
        <v>169.26666666666665</v>
      </c>
      <c r="AI331" s="6">
        <f t="shared" si="23"/>
        <v>163.84</v>
      </c>
      <c r="AJ331" s="6">
        <f>IFERROR(AVERAGE(Main[[#This Row],[Health]],Main[[#This Row],[Personal care and effects]]),"NA")</f>
        <v>170.1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 spans="1:56" ht="13.2" x14ac:dyDescent="0.25">
      <c r="A332" s="1" t="s">
        <v>36</v>
      </c>
      <c r="B332" s="1">
        <v>2022</v>
      </c>
      <c r="C332" s="1" t="s">
        <v>43</v>
      </c>
      <c r="D332" s="8">
        <f>DATEVALUE(Main[[#This Row],[Month]]&amp;Main[[#This Row],[Year]])</f>
        <v>44652</v>
      </c>
      <c r="E332" s="1">
        <v>151.80000000000001</v>
      </c>
      <c r="F332" s="1">
        <v>209.7</v>
      </c>
      <c r="G332" s="1">
        <v>164.5</v>
      </c>
      <c r="H332" s="1">
        <v>163.80000000000001</v>
      </c>
      <c r="I332" s="1">
        <v>207.4</v>
      </c>
      <c r="J332" s="1">
        <v>169.7</v>
      </c>
      <c r="K332" s="1">
        <v>153.6</v>
      </c>
      <c r="L332" s="1">
        <v>165.1</v>
      </c>
      <c r="M332" s="1">
        <v>118.2</v>
      </c>
      <c r="N332" s="1">
        <v>182.9</v>
      </c>
      <c r="O332" s="1">
        <v>172.4</v>
      </c>
      <c r="P332" s="1">
        <v>178.9</v>
      </c>
      <c r="Q332" s="1">
        <v>168.6</v>
      </c>
      <c r="R332" s="1">
        <v>192.8</v>
      </c>
      <c r="S332" s="1">
        <v>177.5</v>
      </c>
      <c r="T332" s="1">
        <v>175.1</v>
      </c>
      <c r="U332" s="1">
        <v>177.1</v>
      </c>
      <c r="V332" s="1" t="s">
        <v>38</v>
      </c>
      <c r="W332" s="1">
        <v>173.3</v>
      </c>
      <c r="X332" s="1">
        <v>167.7</v>
      </c>
      <c r="Y332" s="1">
        <v>177</v>
      </c>
      <c r="Z332" s="1">
        <v>166.2</v>
      </c>
      <c r="AA332" s="1">
        <v>167.2</v>
      </c>
      <c r="AB332" s="1">
        <v>170.9</v>
      </c>
      <c r="AC332" s="1">
        <v>169</v>
      </c>
      <c r="AD332" s="1">
        <v>170.2</v>
      </c>
      <c r="AE332" s="1">
        <v>170.8</v>
      </c>
      <c r="AF332" s="6">
        <f t="shared" si="20"/>
        <v>169.73846153846154</v>
      </c>
      <c r="AG332" s="6">
        <f t="shared" si="21"/>
        <v>176.73333333333335</v>
      </c>
      <c r="AH332" s="6">
        <f t="shared" si="22"/>
        <v>176.56666666666669</v>
      </c>
      <c r="AI332" s="6">
        <f t="shared" si="23"/>
        <v>169.52500000000001</v>
      </c>
      <c r="AJ332" s="6">
        <f>IFERROR(AVERAGE(Main[[#This Row],[Health]],Main[[#This Row],[Personal care and effects]]),"NA")</f>
        <v>173</v>
      </c>
    </row>
    <row r="333" spans="1:56" ht="13.2" x14ac:dyDescent="0.25">
      <c r="A333" s="1" t="s">
        <v>39</v>
      </c>
      <c r="B333" s="1">
        <v>2022</v>
      </c>
      <c r="C333" s="1" t="s">
        <v>43</v>
      </c>
      <c r="D333" s="8">
        <f>DATEVALUE(Main[[#This Row],[Month]]&amp;Main[[#This Row],[Year]])</f>
        <v>44652</v>
      </c>
      <c r="E333" s="1">
        <v>155.4</v>
      </c>
      <c r="F333" s="1">
        <v>215.8</v>
      </c>
      <c r="G333" s="1">
        <v>164.6</v>
      </c>
      <c r="H333" s="1">
        <v>164.2</v>
      </c>
      <c r="I333" s="1">
        <v>186</v>
      </c>
      <c r="J333" s="1">
        <v>175.9</v>
      </c>
      <c r="K333" s="1">
        <v>190.7</v>
      </c>
      <c r="L333" s="1">
        <v>164</v>
      </c>
      <c r="M333" s="1">
        <v>120.5</v>
      </c>
      <c r="N333" s="1">
        <v>178</v>
      </c>
      <c r="O333" s="1">
        <v>157.5</v>
      </c>
      <c r="P333" s="1">
        <v>183.3</v>
      </c>
      <c r="Q333" s="1">
        <v>174.5</v>
      </c>
      <c r="R333" s="1">
        <v>197.1</v>
      </c>
      <c r="S333" s="1">
        <v>168.4</v>
      </c>
      <c r="T333" s="1">
        <v>154.5</v>
      </c>
      <c r="U333" s="1">
        <v>166.3</v>
      </c>
      <c r="V333" s="1">
        <v>167</v>
      </c>
      <c r="W333" s="1">
        <v>170.5</v>
      </c>
      <c r="X333" s="1">
        <v>159.80000000000001</v>
      </c>
      <c r="Y333" s="1">
        <v>169</v>
      </c>
      <c r="Z333" s="1">
        <v>159.30000000000001</v>
      </c>
      <c r="AA333" s="1">
        <v>162.19999999999999</v>
      </c>
      <c r="AB333" s="1">
        <v>164</v>
      </c>
      <c r="AC333" s="1">
        <v>168.4</v>
      </c>
      <c r="AD333" s="1">
        <v>163.1</v>
      </c>
      <c r="AE333" s="1">
        <v>169.2</v>
      </c>
      <c r="AF333" s="6">
        <f t="shared" si="20"/>
        <v>171.56923076923078</v>
      </c>
      <c r="AG333" s="6">
        <f t="shared" si="21"/>
        <v>174.13333333333333</v>
      </c>
      <c r="AH333" s="6">
        <f t="shared" si="22"/>
        <v>163.06666666666666</v>
      </c>
      <c r="AI333" s="6">
        <f t="shared" si="23"/>
        <v>164.12</v>
      </c>
      <c r="AJ333" s="6">
        <f>IFERROR(AVERAGE(Main[[#This Row],[Health]],Main[[#This Row],[Personal care and effects]]),"NA")</f>
        <v>168.7</v>
      </c>
    </row>
    <row r="334" spans="1:56" ht="13.2" x14ac:dyDescent="0.25">
      <c r="A334" s="1" t="s">
        <v>40</v>
      </c>
      <c r="B334" s="1">
        <v>2022</v>
      </c>
      <c r="C334" s="1" t="s">
        <v>43</v>
      </c>
      <c r="D334" s="8">
        <f>DATEVALUE(Main[[#This Row],[Month]]&amp;Main[[#This Row],[Year]])</f>
        <v>44652</v>
      </c>
      <c r="E334" s="1">
        <v>152.9</v>
      </c>
      <c r="F334" s="1">
        <v>211.8</v>
      </c>
      <c r="G334" s="1">
        <v>164.5</v>
      </c>
      <c r="H334" s="1">
        <v>163.9</v>
      </c>
      <c r="I334" s="1">
        <v>199.5</v>
      </c>
      <c r="J334" s="1">
        <v>172.6</v>
      </c>
      <c r="K334" s="1">
        <v>166.2</v>
      </c>
      <c r="L334" s="1">
        <v>164.7</v>
      </c>
      <c r="M334" s="1">
        <v>119</v>
      </c>
      <c r="N334" s="1">
        <v>181.3</v>
      </c>
      <c r="O334" s="1">
        <v>166.2</v>
      </c>
      <c r="P334" s="1">
        <v>180.9</v>
      </c>
      <c r="Q334" s="1">
        <v>170.8</v>
      </c>
      <c r="R334" s="1">
        <v>193.9</v>
      </c>
      <c r="S334" s="1">
        <v>173.9</v>
      </c>
      <c r="T334" s="1">
        <v>166.5</v>
      </c>
      <c r="U334" s="1">
        <v>172.8</v>
      </c>
      <c r="V334" s="1">
        <v>167</v>
      </c>
      <c r="W334" s="1">
        <v>172.2</v>
      </c>
      <c r="X334" s="1">
        <v>164</v>
      </c>
      <c r="Y334" s="1">
        <v>174</v>
      </c>
      <c r="Z334" s="1">
        <v>162.6</v>
      </c>
      <c r="AA334" s="1">
        <v>164.4</v>
      </c>
      <c r="AB334" s="1">
        <v>166.9</v>
      </c>
      <c r="AC334" s="1">
        <v>168.8</v>
      </c>
      <c r="AD334" s="1">
        <v>166.8</v>
      </c>
      <c r="AE334" s="1">
        <v>170.1</v>
      </c>
      <c r="AF334" s="6">
        <f t="shared" si="20"/>
        <v>170.33076923076925</v>
      </c>
      <c r="AG334" s="6">
        <f t="shared" si="21"/>
        <v>175.03333333333333</v>
      </c>
      <c r="AH334" s="6">
        <f t="shared" si="22"/>
        <v>171.06666666666669</v>
      </c>
      <c r="AI334" s="6">
        <f t="shared" si="23"/>
        <v>166.54</v>
      </c>
      <c r="AJ334" s="6">
        <f>IFERROR(AVERAGE(Main[[#This Row],[Health]],Main[[#This Row],[Personal care and effects]]),"NA")</f>
        <v>171.4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 spans="1:56" ht="13.2" x14ac:dyDescent="0.25">
      <c r="A335" s="1" t="s">
        <v>36</v>
      </c>
      <c r="B335" s="1">
        <v>2022</v>
      </c>
      <c r="C335" s="1" t="s">
        <v>44</v>
      </c>
      <c r="D335" s="8">
        <f>DATEVALUE(Main[[#This Row],[Month]]&amp;Main[[#This Row],[Year]])</f>
        <v>44682</v>
      </c>
      <c r="E335" s="1">
        <v>152.9</v>
      </c>
      <c r="F335" s="1">
        <v>214.7</v>
      </c>
      <c r="G335" s="1">
        <v>161.4</v>
      </c>
      <c r="H335" s="1">
        <v>164.6</v>
      </c>
      <c r="I335" s="1">
        <v>209.9</v>
      </c>
      <c r="J335" s="1">
        <v>168</v>
      </c>
      <c r="K335" s="1">
        <v>160.4</v>
      </c>
      <c r="L335" s="1">
        <v>165</v>
      </c>
      <c r="M335" s="1">
        <v>118.9</v>
      </c>
      <c r="N335" s="1">
        <v>186.6</v>
      </c>
      <c r="O335" s="1">
        <v>173.2</v>
      </c>
      <c r="P335" s="1">
        <v>180.4</v>
      </c>
      <c r="Q335" s="1">
        <v>170.8</v>
      </c>
      <c r="R335" s="1">
        <v>192.9</v>
      </c>
      <c r="S335" s="1">
        <v>179.3</v>
      </c>
      <c r="T335" s="1">
        <v>177.2</v>
      </c>
      <c r="U335" s="1">
        <v>179</v>
      </c>
      <c r="V335" s="1" t="s">
        <v>38</v>
      </c>
      <c r="W335" s="1">
        <v>175.3</v>
      </c>
      <c r="X335" s="1">
        <v>168.9</v>
      </c>
      <c r="Y335" s="1">
        <v>177.7</v>
      </c>
      <c r="Z335" s="1">
        <v>167.1</v>
      </c>
      <c r="AA335" s="1">
        <v>167.6</v>
      </c>
      <c r="AB335" s="1">
        <v>171.8</v>
      </c>
      <c r="AC335" s="1">
        <v>168.5</v>
      </c>
      <c r="AD335" s="1">
        <v>170.9</v>
      </c>
      <c r="AE335" s="1">
        <v>172.5</v>
      </c>
      <c r="AF335" s="6">
        <f t="shared" si="20"/>
        <v>171.2923076923077</v>
      </c>
      <c r="AG335" s="6">
        <f t="shared" si="21"/>
        <v>177.13333333333333</v>
      </c>
      <c r="AH335" s="6">
        <f t="shared" si="22"/>
        <v>178.5</v>
      </c>
      <c r="AI335" s="6">
        <f t="shared" si="23"/>
        <v>170.77500000000003</v>
      </c>
      <c r="AJ335" s="6">
        <f>IFERROR(AVERAGE(Main[[#This Row],[Health]],Main[[#This Row],[Personal care and effects]]),"NA")</f>
        <v>173.1</v>
      </c>
    </row>
    <row r="336" spans="1:56" ht="13.2" x14ac:dyDescent="0.25">
      <c r="A336" s="1" t="s">
        <v>39</v>
      </c>
      <c r="B336" s="1">
        <v>2022</v>
      </c>
      <c r="C336" s="1" t="s">
        <v>44</v>
      </c>
      <c r="D336" s="8">
        <f>DATEVALUE(Main[[#This Row],[Month]]&amp;Main[[#This Row],[Year]])</f>
        <v>44682</v>
      </c>
      <c r="E336" s="1">
        <v>156.69999999999999</v>
      </c>
      <c r="F336" s="1">
        <v>221.2</v>
      </c>
      <c r="G336" s="1">
        <v>164.1</v>
      </c>
      <c r="H336" s="1">
        <v>165.4</v>
      </c>
      <c r="I336" s="1">
        <v>189.5</v>
      </c>
      <c r="J336" s="1">
        <v>174.5</v>
      </c>
      <c r="K336" s="1">
        <v>203.2</v>
      </c>
      <c r="L336" s="1">
        <v>164.1</v>
      </c>
      <c r="M336" s="1">
        <v>121.2</v>
      </c>
      <c r="N336" s="1">
        <v>181.4</v>
      </c>
      <c r="O336" s="1">
        <v>158.5</v>
      </c>
      <c r="P336" s="1">
        <v>184.9</v>
      </c>
      <c r="Q336" s="1">
        <v>177.5</v>
      </c>
      <c r="R336" s="1">
        <v>197.5</v>
      </c>
      <c r="S336" s="1">
        <v>170</v>
      </c>
      <c r="T336" s="1">
        <v>155.9</v>
      </c>
      <c r="U336" s="1">
        <v>167.8</v>
      </c>
      <c r="V336" s="1">
        <v>167.5</v>
      </c>
      <c r="W336" s="1">
        <v>173.5</v>
      </c>
      <c r="X336" s="1">
        <v>161.1</v>
      </c>
      <c r="Y336" s="1">
        <v>170.1</v>
      </c>
      <c r="Z336" s="1">
        <v>159.4</v>
      </c>
      <c r="AA336" s="1">
        <v>163.19999999999999</v>
      </c>
      <c r="AB336" s="1">
        <v>165.2</v>
      </c>
      <c r="AC336" s="1">
        <v>168.2</v>
      </c>
      <c r="AD336" s="1">
        <v>163.80000000000001</v>
      </c>
      <c r="AE336" s="1">
        <v>170.8</v>
      </c>
      <c r="AF336" s="6">
        <f t="shared" si="20"/>
        <v>174.01538461538465</v>
      </c>
      <c r="AG336" s="6">
        <f t="shared" si="21"/>
        <v>174.83333333333334</v>
      </c>
      <c r="AH336" s="6">
        <f t="shared" si="22"/>
        <v>164.56666666666666</v>
      </c>
      <c r="AI336" s="6">
        <f t="shared" si="23"/>
        <v>165.34</v>
      </c>
      <c r="AJ336" s="6">
        <f>IFERROR(AVERAGE(Main[[#This Row],[Health]],Main[[#This Row],[Personal care and effects]]),"NA")</f>
        <v>169.14999999999998</v>
      </c>
    </row>
    <row r="337" spans="1:56" ht="13.2" x14ac:dyDescent="0.25">
      <c r="A337" s="1" t="s">
        <v>40</v>
      </c>
      <c r="B337" s="1">
        <v>2022</v>
      </c>
      <c r="C337" s="1" t="s">
        <v>44</v>
      </c>
      <c r="D337" s="8">
        <f>DATEVALUE(Main[[#This Row],[Month]]&amp;Main[[#This Row],[Year]])</f>
        <v>44682</v>
      </c>
      <c r="E337" s="1">
        <v>154.1</v>
      </c>
      <c r="F337" s="1">
        <v>217</v>
      </c>
      <c r="G337" s="1">
        <v>162.4</v>
      </c>
      <c r="H337" s="1">
        <v>164.9</v>
      </c>
      <c r="I337" s="1">
        <v>202.4</v>
      </c>
      <c r="J337" s="1">
        <v>171</v>
      </c>
      <c r="K337" s="1">
        <v>174.9</v>
      </c>
      <c r="L337" s="1">
        <v>164.7</v>
      </c>
      <c r="M337" s="1">
        <v>119.7</v>
      </c>
      <c r="N337" s="1">
        <v>184.9</v>
      </c>
      <c r="O337" s="1">
        <v>167.1</v>
      </c>
      <c r="P337" s="1">
        <v>182.5</v>
      </c>
      <c r="Q337" s="1">
        <v>173.3</v>
      </c>
      <c r="R337" s="1">
        <v>194.1</v>
      </c>
      <c r="S337" s="1">
        <v>175.6</v>
      </c>
      <c r="T337" s="1">
        <v>168.4</v>
      </c>
      <c r="U337" s="1">
        <v>174.6</v>
      </c>
      <c r="V337" s="1">
        <v>167.5</v>
      </c>
      <c r="W337" s="1">
        <v>174.6</v>
      </c>
      <c r="X337" s="1">
        <v>165.2</v>
      </c>
      <c r="Y337" s="1">
        <v>174.8</v>
      </c>
      <c r="Z337" s="1">
        <v>163</v>
      </c>
      <c r="AA337" s="1">
        <v>165.1</v>
      </c>
      <c r="AB337" s="1">
        <v>167.9</v>
      </c>
      <c r="AC337" s="1">
        <v>168.4</v>
      </c>
      <c r="AD337" s="1">
        <v>167.5</v>
      </c>
      <c r="AE337" s="1">
        <v>171.7</v>
      </c>
      <c r="AF337" s="6">
        <f t="shared" si="20"/>
        <v>172.22307692307697</v>
      </c>
      <c r="AG337" s="6">
        <f t="shared" si="21"/>
        <v>175.56666666666669</v>
      </c>
      <c r="AH337" s="6">
        <f t="shared" si="22"/>
        <v>172.86666666666667</v>
      </c>
      <c r="AI337" s="6">
        <f t="shared" si="23"/>
        <v>167.64</v>
      </c>
      <c r="AJ337" s="6">
        <f>IFERROR(AVERAGE(Main[[#This Row],[Health]],Main[[#This Row],[Personal care and effects]]),"NA")</f>
        <v>171.60000000000002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 spans="1:56" ht="13.2" x14ac:dyDescent="0.25">
      <c r="A338" s="1" t="s">
        <v>36</v>
      </c>
      <c r="B338" s="1">
        <v>2022</v>
      </c>
      <c r="C338" s="1" t="s">
        <v>45</v>
      </c>
      <c r="D338" s="8">
        <f>DATEVALUE(Main[[#This Row],[Month]]&amp;Main[[#This Row],[Year]])</f>
        <v>44713</v>
      </c>
      <c r="E338" s="1">
        <v>153.80000000000001</v>
      </c>
      <c r="F338" s="1">
        <v>217.2</v>
      </c>
      <c r="G338" s="1">
        <v>169.6</v>
      </c>
      <c r="H338" s="1">
        <v>165.4</v>
      </c>
      <c r="I338" s="1">
        <v>208.1</v>
      </c>
      <c r="J338" s="1">
        <v>165.8</v>
      </c>
      <c r="K338" s="1">
        <v>167.3</v>
      </c>
      <c r="L338" s="1">
        <v>164.6</v>
      </c>
      <c r="M338" s="1">
        <v>119.1</v>
      </c>
      <c r="N338" s="1">
        <v>188.9</v>
      </c>
      <c r="O338" s="1">
        <v>174.2</v>
      </c>
      <c r="P338" s="1">
        <v>181.9</v>
      </c>
      <c r="Q338" s="1">
        <v>172.4</v>
      </c>
      <c r="R338" s="1">
        <v>192.9</v>
      </c>
      <c r="S338" s="1">
        <v>180.7</v>
      </c>
      <c r="T338" s="1">
        <v>178.7</v>
      </c>
      <c r="U338" s="1">
        <v>180.4</v>
      </c>
      <c r="V338" s="1" t="s">
        <v>38</v>
      </c>
      <c r="W338" s="1">
        <v>176.7</v>
      </c>
      <c r="X338" s="1">
        <v>170.3</v>
      </c>
      <c r="Y338" s="1">
        <v>178.2</v>
      </c>
      <c r="Z338" s="1">
        <v>165.5</v>
      </c>
      <c r="AA338" s="1">
        <v>168</v>
      </c>
      <c r="AB338" s="1">
        <v>172.6</v>
      </c>
      <c r="AC338" s="1">
        <v>169.5</v>
      </c>
      <c r="AD338" s="1">
        <v>171</v>
      </c>
      <c r="AE338" s="1">
        <v>173.6</v>
      </c>
      <c r="AF338" s="6">
        <f t="shared" si="20"/>
        <v>172.94615384615386</v>
      </c>
      <c r="AG338" s="6">
        <f t="shared" si="21"/>
        <v>177.29999999999998</v>
      </c>
      <c r="AH338" s="6">
        <f t="shared" si="22"/>
        <v>179.93333333333331</v>
      </c>
      <c r="AI338" s="6">
        <f t="shared" si="23"/>
        <v>171.27500000000001</v>
      </c>
      <c r="AJ338" s="6">
        <f>IFERROR(AVERAGE(Main[[#This Row],[Health]],Main[[#This Row],[Personal care and effects]]),"NA")</f>
        <v>173.85</v>
      </c>
    </row>
    <row r="339" spans="1:56" ht="13.2" x14ac:dyDescent="0.25">
      <c r="A339" s="1" t="s">
        <v>39</v>
      </c>
      <c r="B339" s="1">
        <v>2022</v>
      </c>
      <c r="C339" s="1" t="s">
        <v>45</v>
      </c>
      <c r="D339" s="8">
        <f>DATEVALUE(Main[[#This Row],[Month]]&amp;Main[[#This Row],[Year]])</f>
        <v>44713</v>
      </c>
      <c r="E339" s="1">
        <v>157.5</v>
      </c>
      <c r="F339" s="1">
        <v>223.4</v>
      </c>
      <c r="G339" s="1">
        <v>172.8</v>
      </c>
      <c r="H339" s="1">
        <v>166.4</v>
      </c>
      <c r="I339" s="1">
        <v>188.6</v>
      </c>
      <c r="J339" s="1">
        <v>174.1</v>
      </c>
      <c r="K339" s="1">
        <v>211.5</v>
      </c>
      <c r="L339" s="1">
        <v>163.6</v>
      </c>
      <c r="M339" s="1">
        <v>121.4</v>
      </c>
      <c r="N339" s="1">
        <v>183.5</v>
      </c>
      <c r="O339" s="1">
        <v>159.1</v>
      </c>
      <c r="P339" s="1">
        <v>186.3</v>
      </c>
      <c r="Q339" s="1">
        <v>179.3</v>
      </c>
      <c r="R339" s="1">
        <v>198.3</v>
      </c>
      <c r="S339" s="1">
        <v>171.6</v>
      </c>
      <c r="T339" s="1">
        <v>157.4</v>
      </c>
      <c r="U339" s="1">
        <v>169.4</v>
      </c>
      <c r="V339" s="1">
        <v>166.8</v>
      </c>
      <c r="W339" s="1">
        <v>174.9</v>
      </c>
      <c r="X339" s="1">
        <v>162.1</v>
      </c>
      <c r="Y339" s="1">
        <v>170.9</v>
      </c>
      <c r="Z339" s="1">
        <v>157.19999999999999</v>
      </c>
      <c r="AA339" s="1">
        <v>164.1</v>
      </c>
      <c r="AB339" s="1">
        <v>166.5</v>
      </c>
      <c r="AC339" s="1">
        <v>169.2</v>
      </c>
      <c r="AD339" s="1">
        <v>163.80000000000001</v>
      </c>
      <c r="AE339" s="1">
        <v>171.4</v>
      </c>
      <c r="AF339" s="6">
        <f t="shared" si="20"/>
        <v>175.96153846153845</v>
      </c>
      <c r="AG339" s="6">
        <f t="shared" si="21"/>
        <v>175.4</v>
      </c>
      <c r="AH339" s="6">
        <f t="shared" si="22"/>
        <v>166.13333333333333</v>
      </c>
      <c r="AI339" s="6">
        <f t="shared" si="23"/>
        <v>165.5</v>
      </c>
      <c r="AJ339" s="6">
        <f>IFERROR(AVERAGE(Main[[#This Row],[Health]],Main[[#This Row],[Personal care and effects]]),"NA")</f>
        <v>170.05</v>
      </c>
    </row>
    <row r="340" spans="1:56" ht="13.2" x14ac:dyDescent="0.25">
      <c r="A340" s="1" t="s">
        <v>40</v>
      </c>
      <c r="B340" s="1">
        <v>2022</v>
      </c>
      <c r="C340" s="1" t="s">
        <v>45</v>
      </c>
      <c r="D340" s="8">
        <f>DATEVALUE(Main[[#This Row],[Month]]&amp;Main[[#This Row],[Year]])</f>
        <v>44713</v>
      </c>
      <c r="E340" s="1">
        <v>155</v>
      </c>
      <c r="F340" s="1">
        <v>219.4</v>
      </c>
      <c r="G340" s="1">
        <v>170.8</v>
      </c>
      <c r="H340" s="1">
        <v>165.8</v>
      </c>
      <c r="I340" s="1">
        <v>200.9</v>
      </c>
      <c r="J340" s="1">
        <v>169.7</v>
      </c>
      <c r="K340" s="1">
        <v>182.3</v>
      </c>
      <c r="L340" s="1">
        <v>164.3</v>
      </c>
      <c r="M340" s="1">
        <v>119.9</v>
      </c>
      <c r="N340" s="1">
        <v>187.1</v>
      </c>
      <c r="O340" s="1">
        <v>167.9</v>
      </c>
      <c r="P340" s="1">
        <v>183.9</v>
      </c>
      <c r="Q340" s="1">
        <v>174.9</v>
      </c>
      <c r="R340" s="1">
        <v>194.3</v>
      </c>
      <c r="S340" s="1">
        <v>177.1</v>
      </c>
      <c r="T340" s="1">
        <v>169.9</v>
      </c>
      <c r="U340" s="1">
        <v>176</v>
      </c>
      <c r="V340" s="1">
        <v>166.8</v>
      </c>
      <c r="W340" s="1">
        <v>176</v>
      </c>
      <c r="X340" s="1">
        <v>166.4</v>
      </c>
      <c r="Y340" s="1">
        <v>175.4</v>
      </c>
      <c r="Z340" s="1">
        <v>161.1</v>
      </c>
      <c r="AA340" s="1">
        <v>165.8</v>
      </c>
      <c r="AB340" s="1">
        <v>169</v>
      </c>
      <c r="AC340" s="1">
        <v>169.4</v>
      </c>
      <c r="AD340" s="1">
        <v>167.5</v>
      </c>
      <c r="AE340" s="1">
        <v>172.6</v>
      </c>
      <c r="AF340" s="6">
        <f t="shared" si="20"/>
        <v>173.99230769230769</v>
      </c>
      <c r="AG340" s="6">
        <f t="shared" si="21"/>
        <v>175.86666666666667</v>
      </c>
      <c r="AH340" s="6">
        <f t="shared" si="22"/>
        <v>174.33333333333334</v>
      </c>
      <c r="AI340" s="6">
        <f t="shared" si="23"/>
        <v>167.86</v>
      </c>
      <c r="AJ340" s="6">
        <f>IFERROR(AVERAGE(Main[[#This Row],[Health]],Main[[#This Row],[Personal care and effects]]),"NA")</f>
        <v>172.4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 spans="1:56" ht="13.2" x14ac:dyDescent="0.25">
      <c r="A341" s="1" t="s">
        <v>36</v>
      </c>
      <c r="B341" s="1">
        <v>2022</v>
      </c>
      <c r="C341" s="1" t="s">
        <v>46</v>
      </c>
      <c r="D341" s="8">
        <f>DATEVALUE(Main[[#This Row],[Month]]&amp;Main[[#This Row],[Year]])</f>
        <v>44743</v>
      </c>
      <c r="E341" s="1">
        <v>155.19999999999999</v>
      </c>
      <c r="F341" s="1">
        <v>210.8</v>
      </c>
      <c r="G341" s="1">
        <v>174.3</v>
      </c>
      <c r="H341" s="1">
        <v>166.3</v>
      </c>
      <c r="I341" s="1">
        <v>202.2</v>
      </c>
      <c r="J341" s="1">
        <v>169.6</v>
      </c>
      <c r="K341" s="1">
        <v>168.6</v>
      </c>
      <c r="L341" s="1">
        <v>164.4</v>
      </c>
      <c r="M341" s="1">
        <v>119.2</v>
      </c>
      <c r="N341" s="1">
        <v>191.8</v>
      </c>
      <c r="O341" s="1">
        <v>174.5</v>
      </c>
      <c r="P341" s="1">
        <v>183.1</v>
      </c>
      <c r="Q341" s="1">
        <v>172.5</v>
      </c>
      <c r="R341" s="1">
        <v>193.2</v>
      </c>
      <c r="S341" s="1">
        <v>182</v>
      </c>
      <c r="T341" s="1">
        <v>180.3</v>
      </c>
      <c r="U341" s="1">
        <v>181.7</v>
      </c>
      <c r="V341" s="1" t="s">
        <v>38</v>
      </c>
      <c r="W341" s="1">
        <v>179.6</v>
      </c>
      <c r="X341" s="1">
        <v>171.3</v>
      </c>
      <c r="Y341" s="1">
        <v>178.8</v>
      </c>
      <c r="Z341" s="1">
        <v>166.3</v>
      </c>
      <c r="AA341" s="1">
        <v>168.6</v>
      </c>
      <c r="AB341" s="1">
        <v>174.7</v>
      </c>
      <c r="AC341" s="1">
        <v>169.7</v>
      </c>
      <c r="AD341" s="1">
        <v>171.8</v>
      </c>
      <c r="AE341" s="1">
        <v>174.3</v>
      </c>
      <c r="AF341" s="6">
        <f t="shared" si="20"/>
        <v>173.26923076923077</v>
      </c>
      <c r="AG341" s="6">
        <f t="shared" si="21"/>
        <v>177.86666666666665</v>
      </c>
      <c r="AH341" s="6">
        <f t="shared" si="22"/>
        <v>181.33333333333334</v>
      </c>
      <c r="AI341" s="6">
        <f t="shared" si="23"/>
        <v>172.97500000000002</v>
      </c>
      <c r="AJ341" s="6">
        <f>IFERROR(AVERAGE(Main[[#This Row],[Health]],Main[[#This Row],[Personal care and effects]]),"NA")</f>
        <v>174.25</v>
      </c>
    </row>
    <row r="342" spans="1:56" ht="13.2" x14ac:dyDescent="0.25">
      <c r="A342" s="1" t="s">
        <v>39</v>
      </c>
      <c r="B342" s="1">
        <v>2022</v>
      </c>
      <c r="C342" s="1" t="s">
        <v>46</v>
      </c>
      <c r="D342" s="8">
        <f>DATEVALUE(Main[[#This Row],[Month]]&amp;Main[[#This Row],[Year]])</f>
        <v>44743</v>
      </c>
      <c r="E342" s="1">
        <v>159.30000000000001</v>
      </c>
      <c r="F342" s="1">
        <v>217.1</v>
      </c>
      <c r="G342" s="1">
        <v>176.6</v>
      </c>
      <c r="H342" s="1">
        <v>167.1</v>
      </c>
      <c r="I342" s="1">
        <v>184.8</v>
      </c>
      <c r="J342" s="1">
        <v>179.5</v>
      </c>
      <c r="K342" s="1">
        <v>208.5</v>
      </c>
      <c r="L342" s="1">
        <v>164</v>
      </c>
      <c r="M342" s="1">
        <v>121.5</v>
      </c>
      <c r="N342" s="1">
        <v>186.3</v>
      </c>
      <c r="O342" s="1">
        <v>159.80000000000001</v>
      </c>
      <c r="P342" s="1">
        <v>187.7</v>
      </c>
      <c r="Q342" s="1">
        <v>179.4</v>
      </c>
      <c r="R342" s="1">
        <v>198.6</v>
      </c>
      <c r="S342" s="1">
        <v>172.7</v>
      </c>
      <c r="T342" s="1">
        <v>158.69999999999999</v>
      </c>
      <c r="U342" s="1">
        <v>170.6</v>
      </c>
      <c r="V342" s="1">
        <v>167.8</v>
      </c>
      <c r="W342" s="1">
        <v>179.5</v>
      </c>
      <c r="X342" s="1">
        <v>163.1</v>
      </c>
      <c r="Y342" s="1">
        <v>171.7</v>
      </c>
      <c r="Z342" s="1">
        <v>157.4</v>
      </c>
      <c r="AA342" s="1">
        <v>164.6</v>
      </c>
      <c r="AB342" s="1">
        <v>169.1</v>
      </c>
      <c r="AC342" s="1">
        <v>169.8</v>
      </c>
      <c r="AD342" s="1">
        <v>164.7</v>
      </c>
      <c r="AE342" s="1">
        <v>172.3</v>
      </c>
      <c r="AF342" s="6">
        <f t="shared" si="20"/>
        <v>176.27692307692308</v>
      </c>
      <c r="AG342" s="6">
        <f t="shared" si="21"/>
        <v>175.96666666666667</v>
      </c>
      <c r="AH342" s="6">
        <f t="shared" si="22"/>
        <v>167.33333333333334</v>
      </c>
      <c r="AI342" s="6">
        <f t="shared" si="23"/>
        <v>167.38</v>
      </c>
      <c r="AJ342" s="6">
        <f>IFERROR(AVERAGE(Main[[#This Row],[Health]],Main[[#This Row],[Personal care and effects]]),"NA")</f>
        <v>170.75</v>
      </c>
    </row>
    <row r="343" spans="1:56" ht="13.2" x14ac:dyDescent="0.25">
      <c r="A343" s="1" t="s">
        <v>40</v>
      </c>
      <c r="B343" s="1">
        <v>2022</v>
      </c>
      <c r="C343" s="1" t="s">
        <v>46</v>
      </c>
      <c r="D343" s="8">
        <f>DATEVALUE(Main[[#This Row],[Month]]&amp;Main[[#This Row],[Year]])</f>
        <v>44743</v>
      </c>
      <c r="E343" s="1">
        <v>156.5</v>
      </c>
      <c r="F343" s="1">
        <v>213</v>
      </c>
      <c r="G343" s="1">
        <v>175.2</v>
      </c>
      <c r="H343" s="1">
        <v>166.6</v>
      </c>
      <c r="I343" s="1">
        <v>195.8</v>
      </c>
      <c r="J343" s="1">
        <v>174.2</v>
      </c>
      <c r="K343" s="1">
        <v>182.1</v>
      </c>
      <c r="L343" s="1">
        <v>164.3</v>
      </c>
      <c r="M343" s="1">
        <v>120</v>
      </c>
      <c r="N343" s="1">
        <v>190</v>
      </c>
      <c r="O343" s="1">
        <v>168.4</v>
      </c>
      <c r="P343" s="1">
        <v>185.2</v>
      </c>
      <c r="Q343" s="1">
        <v>175</v>
      </c>
      <c r="R343" s="1">
        <v>194.6</v>
      </c>
      <c r="S343" s="1">
        <v>178.3</v>
      </c>
      <c r="T343" s="1">
        <v>171.3</v>
      </c>
      <c r="U343" s="1">
        <v>177.3</v>
      </c>
      <c r="V343" s="1">
        <v>167.8</v>
      </c>
      <c r="W343" s="1">
        <v>179.6</v>
      </c>
      <c r="X343" s="1">
        <v>167.4</v>
      </c>
      <c r="Y343" s="1">
        <v>176.1</v>
      </c>
      <c r="Z343" s="1">
        <v>161.6</v>
      </c>
      <c r="AA343" s="1">
        <v>166.3</v>
      </c>
      <c r="AB343" s="1">
        <v>171.4</v>
      </c>
      <c r="AC343" s="1">
        <v>169.7</v>
      </c>
      <c r="AD343" s="1">
        <v>168.4</v>
      </c>
      <c r="AE343" s="1">
        <v>173.4</v>
      </c>
      <c r="AF343" s="6">
        <f t="shared" si="20"/>
        <v>174.33076923076925</v>
      </c>
      <c r="AG343" s="6">
        <f t="shared" si="21"/>
        <v>176.43333333333331</v>
      </c>
      <c r="AH343" s="6">
        <f t="shared" si="22"/>
        <v>175.63333333333335</v>
      </c>
      <c r="AI343" s="6">
        <f t="shared" si="23"/>
        <v>169.56</v>
      </c>
      <c r="AJ343" s="6">
        <f>IFERROR(AVERAGE(Main[[#This Row],[Health]],Main[[#This Row],[Personal care and effects]]),"NA")</f>
        <v>172.89999999999998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 spans="1:56" ht="13.2" x14ac:dyDescent="0.25">
      <c r="A344" s="1" t="s">
        <v>36</v>
      </c>
      <c r="B344" s="1">
        <v>2022</v>
      </c>
      <c r="C344" s="1" t="s">
        <v>47</v>
      </c>
      <c r="D344" s="8">
        <f>DATEVALUE(Main[[#This Row],[Month]]&amp;Main[[#This Row],[Year]])</f>
        <v>44774</v>
      </c>
      <c r="E344" s="1">
        <v>159.5</v>
      </c>
      <c r="F344" s="1">
        <v>204.1</v>
      </c>
      <c r="G344" s="1">
        <v>168.3</v>
      </c>
      <c r="H344" s="1">
        <v>167.9</v>
      </c>
      <c r="I344" s="1">
        <v>198.1</v>
      </c>
      <c r="J344" s="1">
        <v>169.2</v>
      </c>
      <c r="K344" s="1">
        <v>173.1</v>
      </c>
      <c r="L344" s="1">
        <v>167.1</v>
      </c>
      <c r="M344" s="1">
        <v>120.2</v>
      </c>
      <c r="N344" s="1">
        <v>195.6</v>
      </c>
      <c r="O344" s="1">
        <v>174.8</v>
      </c>
      <c r="P344" s="1">
        <v>184</v>
      </c>
      <c r="Q344" s="1">
        <v>173.9</v>
      </c>
      <c r="R344" s="1">
        <v>193.7</v>
      </c>
      <c r="S344" s="1">
        <v>183.2</v>
      </c>
      <c r="T344" s="1">
        <v>181.7</v>
      </c>
      <c r="U344" s="1">
        <v>183</v>
      </c>
      <c r="V344" s="1" t="s">
        <v>38</v>
      </c>
      <c r="W344" s="1">
        <v>179.1</v>
      </c>
      <c r="X344" s="1">
        <v>172.3</v>
      </c>
      <c r="Y344" s="1">
        <v>179.4</v>
      </c>
      <c r="Z344" s="1">
        <v>166.6</v>
      </c>
      <c r="AA344" s="1">
        <v>169.3</v>
      </c>
      <c r="AB344" s="1">
        <v>175.7</v>
      </c>
      <c r="AC344" s="1">
        <v>171.1</v>
      </c>
      <c r="AD344" s="1">
        <v>172.6</v>
      </c>
      <c r="AE344" s="1">
        <v>175.3</v>
      </c>
      <c r="AF344" s="6">
        <f t="shared" si="20"/>
        <v>173.5230769230769</v>
      </c>
      <c r="AG344" s="6">
        <f t="shared" si="21"/>
        <v>178.53333333333333</v>
      </c>
      <c r="AH344" s="6">
        <f t="shared" si="22"/>
        <v>182.63333333333333</v>
      </c>
      <c r="AI344" s="6">
        <f t="shared" si="23"/>
        <v>173.42500000000001</v>
      </c>
      <c r="AJ344" s="6">
        <f>IFERROR(AVERAGE(Main[[#This Row],[Health]],Main[[#This Row],[Personal care and effects]]),"NA")</f>
        <v>175.25</v>
      </c>
    </row>
    <row r="345" spans="1:56" ht="13.2" x14ac:dyDescent="0.25">
      <c r="A345" s="1" t="s">
        <v>39</v>
      </c>
      <c r="B345" s="1">
        <v>2022</v>
      </c>
      <c r="C345" s="1" t="s">
        <v>47</v>
      </c>
      <c r="D345" s="8">
        <f>DATEVALUE(Main[[#This Row],[Month]]&amp;Main[[#This Row],[Year]])</f>
        <v>44774</v>
      </c>
      <c r="E345" s="1">
        <v>162.1</v>
      </c>
      <c r="F345" s="1">
        <v>210.9</v>
      </c>
      <c r="G345" s="1">
        <v>170.6</v>
      </c>
      <c r="H345" s="1">
        <v>168.4</v>
      </c>
      <c r="I345" s="1">
        <v>182.5</v>
      </c>
      <c r="J345" s="1">
        <v>177.1</v>
      </c>
      <c r="K345" s="1">
        <v>213.1</v>
      </c>
      <c r="L345" s="1">
        <v>167.3</v>
      </c>
      <c r="M345" s="1">
        <v>122.2</v>
      </c>
      <c r="N345" s="1">
        <v>189.7</v>
      </c>
      <c r="O345" s="1">
        <v>160.5</v>
      </c>
      <c r="P345" s="1">
        <v>188.9</v>
      </c>
      <c r="Q345" s="1">
        <v>180.4</v>
      </c>
      <c r="R345" s="1">
        <v>198.7</v>
      </c>
      <c r="S345" s="1">
        <v>173.7</v>
      </c>
      <c r="T345" s="1">
        <v>160</v>
      </c>
      <c r="U345" s="1">
        <v>171.6</v>
      </c>
      <c r="V345" s="1">
        <v>169</v>
      </c>
      <c r="W345" s="1">
        <v>178.4</v>
      </c>
      <c r="X345" s="1">
        <v>164.2</v>
      </c>
      <c r="Y345" s="1">
        <v>172.6</v>
      </c>
      <c r="Z345" s="1">
        <v>157.69999999999999</v>
      </c>
      <c r="AA345" s="1">
        <v>165.1</v>
      </c>
      <c r="AB345" s="1">
        <v>169.9</v>
      </c>
      <c r="AC345" s="1">
        <v>171.4</v>
      </c>
      <c r="AD345" s="1">
        <v>165.4</v>
      </c>
      <c r="AE345" s="1">
        <v>173.1</v>
      </c>
      <c r="AF345" s="6">
        <f t="shared" si="20"/>
        <v>176.43846153846152</v>
      </c>
      <c r="AG345" s="6">
        <f t="shared" si="21"/>
        <v>176.39999999999998</v>
      </c>
      <c r="AH345" s="6">
        <f t="shared" si="22"/>
        <v>168.43333333333331</v>
      </c>
      <c r="AI345" s="6">
        <f t="shared" si="23"/>
        <v>167.83999999999997</v>
      </c>
      <c r="AJ345" s="6">
        <f>IFERROR(AVERAGE(Main[[#This Row],[Health]],Main[[#This Row],[Personal care and effects]]),"NA")</f>
        <v>172</v>
      </c>
    </row>
    <row r="346" spans="1:56" ht="13.2" x14ac:dyDescent="0.25">
      <c r="A346" s="1" t="s">
        <v>40</v>
      </c>
      <c r="B346" s="1">
        <v>2022</v>
      </c>
      <c r="C346" s="1" t="s">
        <v>47</v>
      </c>
      <c r="D346" s="8">
        <f>DATEVALUE(Main[[#This Row],[Month]]&amp;Main[[#This Row],[Year]])</f>
        <v>44774</v>
      </c>
      <c r="E346" s="1">
        <v>160.30000000000001</v>
      </c>
      <c r="F346" s="1">
        <v>206.5</v>
      </c>
      <c r="G346" s="1">
        <v>169.2</v>
      </c>
      <c r="H346" s="1">
        <v>168.1</v>
      </c>
      <c r="I346" s="1">
        <v>192.4</v>
      </c>
      <c r="J346" s="1">
        <v>172.9</v>
      </c>
      <c r="K346" s="1">
        <v>186.7</v>
      </c>
      <c r="L346" s="1">
        <v>167.2</v>
      </c>
      <c r="M346" s="1">
        <v>120.9</v>
      </c>
      <c r="N346" s="1">
        <v>193.6</v>
      </c>
      <c r="O346" s="1">
        <v>168.8</v>
      </c>
      <c r="P346" s="1">
        <v>186.3</v>
      </c>
      <c r="Q346" s="1">
        <v>176.3</v>
      </c>
      <c r="R346" s="1">
        <v>195</v>
      </c>
      <c r="S346" s="1">
        <v>179.5</v>
      </c>
      <c r="T346" s="1">
        <v>172.7</v>
      </c>
      <c r="U346" s="1">
        <v>178.5</v>
      </c>
      <c r="V346" s="1">
        <v>169</v>
      </c>
      <c r="W346" s="1">
        <v>178.8</v>
      </c>
      <c r="X346" s="1">
        <v>168.5</v>
      </c>
      <c r="Y346" s="1">
        <v>176.8</v>
      </c>
      <c r="Z346" s="1">
        <v>161.9</v>
      </c>
      <c r="AA346" s="1">
        <v>166.9</v>
      </c>
      <c r="AB346" s="1">
        <v>172.3</v>
      </c>
      <c r="AC346" s="1">
        <v>171.2</v>
      </c>
      <c r="AD346" s="1">
        <v>169.1</v>
      </c>
      <c r="AE346" s="1">
        <v>174.3</v>
      </c>
      <c r="AF346" s="6">
        <f t="shared" si="20"/>
        <v>174.55384615384617</v>
      </c>
      <c r="AG346" s="6">
        <f t="shared" si="21"/>
        <v>177</v>
      </c>
      <c r="AH346" s="6">
        <f t="shared" si="22"/>
        <v>176.9</v>
      </c>
      <c r="AI346" s="6">
        <f t="shared" si="23"/>
        <v>170.1</v>
      </c>
      <c r="AJ346" s="6">
        <f>IFERROR(AVERAGE(Main[[#This Row],[Health]],Main[[#This Row],[Personal care and effects]]),"NA")</f>
        <v>174</v>
      </c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 spans="1:56" ht="13.2" x14ac:dyDescent="0.25">
      <c r="A347" s="1" t="s">
        <v>36</v>
      </c>
      <c r="B347" s="1">
        <v>2022</v>
      </c>
      <c r="C347" s="1" t="s">
        <v>48</v>
      </c>
      <c r="D347" s="8">
        <f>DATEVALUE(Main[[#This Row],[Month]]&amp;Main[[#This Row],[Year]])</f>
        <v>44805</v>
      </c>
      <c r="E347" s="1">
        <v>162.9</v>
      </c>
      <c r="F347" s="1">
        <v>206.7</v>
      </c>
      <c r="G347" s="1">
        <v>169</v>
      </c>
      <c r="H347" s="1">
        <v>169.5</v>
      </c>
      <c r="I347" s="1">
        <v>194.1</v>
      </c>
      <c r="J347" s="1">
        <v>164.1</v>
      </c>
      <c r="K347" s="1">
        <v>176.9</v>
      </c>
      <c r="L347" s="1">
        <v>169</v>
      </c>
      <c r="M347" s="1">
        <v>120.8</v>
      </c>
      <c r="N347" s="1">
        <v>199.1</v>
      </c>
      <c r="O347" s="1">
        <v>175.4</v>
      </c>
      <c r="P347" s="1">
        <v>184.8</v>
      </c>
      <c r="Q347" s="1">
        <v>175.5</v>
      </c>
      <c r="R347" s="1">
        <v>194.5</v>
      </c>
      <c r="S347" s="1">
        <v>184.7</v>
      </c>
      <c r="T347" s="1">
        <v>183.3</v>
      </c>
      <c r="U347" s="1">
        <v>184.5</v>
      </c>
      <c r="V347" s="1" t="s">
        <v>38</v>
      </c>
      <c r="W347" s="1">
        <v>179.7</v>
      </c>
      <c r="X347" s="1">
        <v>173.6</v>
      </c>
      <c r="Y347" s="1">
        <v>180.2</v>
      </c>
      <c r="Z347" s="1">
        <v>166.9</v>
      </c>
      <c r="AA347" s="1">
        <v>170</v>
      </c>
      <c r="AB347" s="1">
        <v>176.2</v>
      </c>
      <c r="AC347" s="1">
        <v>170.8</v>
      </c>
      <c r="AD347" s="1">
        <v>173.1</v>
      </c>
      <c r="AE347" s="1">
        <v>176.4</v>
      </c>
      <c r="AF347" s="6">
        <f t="shared" si="20"/>
        <v>174.44615384615386</v>
      </c>
      <c r="AG347" s="6">
        <f t="shared" si="21"/>
        <v>179.20000000000002</v>
      </c>
      <c r="AH347" s="6">
        <f t="shared" si="22"/>
        <v>184.16666666666666</v>
      </c>
      <c r="AI347" s="6">
        <f t="shared" si="23"/>
        <v>174.09999999999997</v>
      </c>
      <c r="AJ347" s="6">
        <f>IFERROR(AVERAGE(Main[[#This Row],[Health]],Main[[#This Row],[Personal care and effects]]),"NA")</f>
        <v>175.5</v>
      </c>
    </row>
    <row r="348" spans="1:56" ht="13.2" x14ac:dyDescent="0.25">
      <c r="A348" s="1" t="s">
        <v>39</v>
      </c>
      <c r="B348" s="1">
        <v>2022</v>
      </c>
      <c r="C348" s="1" t="s">
        <v>48</v>
      </c>
      <c r="D348" s="8">
        <f>DATEVALUE(Main[[#This Row],[Month]]&amp;Main[[#This Row],[Year]])</f>
        <v>44805</v>
      </c>
      <c r="E348" s="1">
        <v>164.9</v>
      </c>
      <c r="F348" s="1">
        <v>213.7</v>
      </c>
      <c r="G348" s="1">
        <v>170.9</v>
      </c>
      <c r="H348" s="1">
        <v>170.1</v>
      </c>
      <c r="I348" s="1">
        <v>179.3</v>
      </c>
      <c r="J348" s="1">
        <v>167.5</v>
      </c>
      <c r="K348" s="1">
        <v>220.8</v>
      </c>
      <c r="L348" s="1">
        <v>169.2</v>
      </c>
      <c r="M348" s="1">
        <v>123.1</v>
      </c>
      <c r="N348" s="1">
        <v>193.6</v>
      </c>
      <c r="O348" s="1">
        <v>161.1</v>
      </c>
      <c r="P348" s="1">
        <v>190.4</v>
      </c>
      <c r="Q348" s="1">
        <v>181.8</v>
      </c>
      <c r="R348" s="1">
        <v>199.7</v>
      </c>
      <c r="S348" s="1">
        <v>175</v>
      </c>
      <c r="T348" s="1">
        <v>161.69999999999999</v>
      </c>
      <c r="U348" s="1">
        <v>173</v>
      </c>
      <c r="V348" s="1">
        <v>169.5</v>
      </c>
      <c r="W348" s="1">
        <v>179.2</v>
      </c>
      <c r="X348" s="1">
        <v>165</v>
      </c>
      <c r="Y348" s="1">
        <v>173.8</v>
      </c>
      <c r="Z348" s="1">
        <v>158.19999999999999</v>
      </c>
      <c r="AA348" s="1">
        <v>165.8</v>
      </c>
      <c r="AB348" s="1">
        <v>170.9</v>
      </c>
      <c r="AC348" s="1">
        <v>171.1</v>
      </c>
      <c r="AD348" s="1">
        <v>166.1</v>
      </c>
      <c r="AE348" s="1">
        <v>174.1</v>
      </c>
      <c r="AF348" s="6">
        <f t="shared" si="20"/>
        <v>177.41538461538462</v>
      </c>
      <c r="AG348" s="6">
        <f t="shared" si="21"/>
        <v>177.20000000000002</v>
      </c>
      <c r="AH348" s="6">
        <f t="shared" si="22"/>
        <v>169.9</v>
      </c>
      <c r="AI348" s="6">
        <f t="shared" si="23"/>
        <v>168.56</v>
      </c>
      <c r="AJ348" s="6">
        <f>IFERROR(AVERAGE(Main[[#This Row],[Health]],Main[[#This Row],[Personal care and effects]]),"NA")</f>
        <v>172.45</v>
      </c>
    </row>
    <row r="349" spans="1:56" ht="13.2" x14ac:dyDescent="0.25">
      <c r="A349" s="1" t="s">
        <v>40</v>
      </c>
      <c r="B349" s="1">
        <v>2022</v>
      </c>
      <c r="C349" s="1" t="s">
        <v>48</v>
      </c>
      <c r="D349" s="8">
        <f>DATEVALUE(Main[[#This Row],[Month]]&amp;Main[[#This Row],[Year]])</f>
        <v>44805</v>
      </c>
      <c r="E349" s="1">
        <v>163.5</v>
      </c>
      <c r="F349" s="1">
        <v>209.2</v>
      </c>
      <c r="G349" s="1">
        <v>169.7</v>
      </c>
      <c r="H349" s="1">
        <v>169.7</v>
      </c>
      <c r="I349" s="1">
        <v>188.7</v>
      </c>
      <c r="J349" s="1">
        <v>165.7</v>
      </c>
      <c r="K349" s="1">
        <v>191.8</v>
      </c>
      <c r="L349" s="1">
        <v>169.1</v>
      </c>
      <c r="M349" s="1">
        <v>121.6</v>
      </c>
      <c r="N349" s="1">
        <v>197.3</v>
      </c>
      <c r="O349" s="1">
        <v>169.4</v>
      </c>
      <c r="P349" s="1">
        <v>187.4</v>
      </c>
      <c r="Q349" s="1">
        <v>177.8</v>
      </c>
      <c r="R349" s="1">
        <v>195.9</v>
      </c>
      <c r="S349" s="1">
        <v>180.9</v>
      </c>
      <c r="T349" s="1">
        <v>174.3</v>
      </c>
      <c r="U349" s="1">
        <v>179.9</v>
      </c>
      <c r="V349" s="1">
        <v>169.5</v>
      </c>
      <c r="W349" s="1">
        <v>179.5</v>
      </c>
      <c r="X349" s="1">
        <v>169.5</v>
      </c>
      <c r="Y349" s="1">
        <v>177.8</v>
      </c>
      <c r="Z349" s="1">
        <v>162.30000000000001</v>
      </c>
      <c r="AA349" s="1">
        <v>167.6</v>
      </c>
      <c r="AB349" s="1">
        <v>173.1</v>
      </c>
      <c r="AC349" s="1">
        <v>170.9</v>
      </c>
      <c r="AD349" s="1">
        <v>169.7</v>
      </c>
      <c r="AE349" s="1">
        <v>175.3</v>
      </c>
      <c r="AF349" s="6">
        <f t="shared" si="20"/>
        <v>175.45384615384617</v>
      </c>
      <c r="AG349" s="6">
        <f t="shared" si="21"/>
        <v>177.73333333333335</v>
      </c>
      <c r="AH349" s="6">
        <f t="shared" si="22"/>
        <v>178.36666666666667</v>
      </c>
      <c r="AI349" s="6">
        <f t="shared" si="23"/>
        <v>170.78</v>
      </c>
      <c r="AJ349" s="6">
        <f>IFERROR(AVERAGE(Main[[#This Row],[Health]],Main[[#This Row],[Personal care and effects]]),"NA")</f>
        <v>174.35000000000002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 spans="1:56" ht="13.2" x14ac:dyDescent="0.25">
      <c r="A350" s="1" t="s">
        <v>36</v>
      </c>
      <c r="B350" s="1">
        <v>2022</v>
      </c>
      <c r="C350" s="1" t="s">
        <v>49</v>
      </c>
      <c r="D350" s="8">
        <f>DATEVALUE(Main[[#This Row],[Month]]&amp;Main[[#This Row],[Year]])</f>
        <v>44835</v>
      </c>
      <c r="E350" s="1">
        <v>164.7</v>
      </c>
      <c r="F350" s="1">
        <v>208.8</v>
      </c>
      <c r="G350" s="1">
        <v>170.3</v>
      </c>
      <c r="H350" s="1">
        <v>170.9</v>
      </c>
      <c r="I350" s="1">
        <v>191.6</v>
      </c>
      <c r="J350" s="1">
        <v>162.19999999999999</v>
      </c>
      <c r="K350" s="1">
        <v>184.8</v>
      </c>
      <c r="L350" s="1">
        <v>169.7</v>
      </c>
      <c r="M350" s="1">
        <v>121.1</v>
      </c>
      <c r="N350" s="1">
        <v>201.6</v>
      </c>
      <c r="O350" s="1">
        <v>175.8</v>
      </c>
      <c r="P350" s="1">
        <v>185.6</v>
      </c>
      <c r="Q350" s="1">
        <v>177.4</v>
      </c>
      <c r="R350" s="1">
        <v>194.9</v>
      </c>
      <c r="S350" s="1">
        <v>186.1</v>
      </c>
      <c r="T350" s="1">
        <v>184.4</v>
      </c>
      <c r="U350" s="1">
        <v>185.9</v>
      </c>
      <c r="V350" s="1" t="s">
        <v>38</v>
      </c>
      <c r="W350" s="1">
        <v>180.8</v>
      </c>
      <c r="X350" s="1">
        <v>174.4</v>
      </c>
      <c r="Y350" s="1">
        <v>181.2</v>
      </c>
      <c r="Z350" s="1">
        <v>167.4</v>
      </c>
      <c r="AA350" s="1">
        <v>170.6</v>
      </c>
      <c r="AB350" s="1">
        <v>176.5</v>
      </c>
      <c r="AC350" s="1">
        <v>172</v>
      </c>
      <c r="AD350" s="1">
        <v>173.9</v>
      </c>
      <c r="AE350" s="1">
        <v>177.9</v>
      </c>
      <c r="AF350" s="6">
        <f t="shared" si="20"/>
        <v>175.73076923076923</v>
      </c>
      <c r="AG350" s="6">
        <f t="shared" si="21"/>
        <v>179.79999999999998</v>
      </c>
      <c r="AH350" s="6">
        <f t="shared" si="22"/>
        <v>185.46666666666667</v>
      </c>
      <c r="AI350" s="6">
        <f t="shared" si="23"/>
        <v>174.77500000000001</v>
      </c>
      <c r="AJ350" s="6">
        <f>IFERROR(AVERAGE(Main[[#This Row],[Health]],Main[[#This Row],[Personal care and effects]]),"NA")</f>
        <v>176.6</v>
      </c>
    </row>
    <row r="351" spans="1:56" ht="13.2" x14ac:dyDescent="0.25">
      <c r="A351" s="1" t="s">
        <v>39</v>
      </c>
      <c r="B351" s="1">
        <v>2022</v>
      </c>
      <c r="C351" s="1" t="s">
        <v>49</v>
      </c>
      <c r="D351" s="8">
        <f>DATEVALUE(Main[[#This Row],[Month]]&amp;Main[[#This Row],[Year]])</f>
        <v>44835</v>
      </c>
      <c r="E351" s="1">
        <v>166.4</v>
      </c>
      <c r="F351" s="1">
        <v>214.9</v>
      </c>
      <c r="G351" s="1">
        <v>171.9</v>
      </c>
      <c r="H351" s="1">
        <v>171</v>
      </c>
      <c r="I351" s="1">
        <v>177.7</v>
      </c>
      <c r="J351" s="1">
        <v>165.7</v>
      </c>
      <c r="K351" s="1">
        <v>228.6</v>
      </c>
      <c r="L351" s="1">
        <v>169.9</v>
      </c>
      <c r="M351" s="1">
        <v>123.4</v>
      </c>
      <c r="N351" s="1">
        <v>196.4</v>
      </c>
      <c r="O351" s="1">
        <v>161.6</v>
      </c>
      <c r="P351" s="1">
        <v>191.5</v>
      </c>
      <c r="Q351" s="1">
        <v>183.3</v>
      </c>
      <c r="R351" s="1">
        <v>200.1</v>
      </c>
      <c r="S351" s="1">
        <v>175.5</v>
      </c>
      <c r="T351" s="1">
        <v>162.6</v>
      </c>
      <c r="U351" s="1">
        <v>173.6</v>
      </c>
      <c r="V351" s="1">
        <v>171.2</v>
      </c>
      <c r="W351" s="1">
        <v>180</v>
      </c>
      <c r="X351" s="1">
        <v>166</v>
      </c>
      <c r="Y351" s="1">
        <v>174.7</v>
      </c>
      <c r="Z351" s="1">
        <v>158.80000000000001</v>
      </c>
      <c r="AA351" s="1">
        <v>166.3</v>
      </c>
      <c r="AB351" s="1">
        <v>171.2</v>
      </c>
      <c r="AC351" s="1">
        <v>172.3</v>
      </c>
      <c r="AD351" s="1">
        <v>166.8</v>
      </c>
      <c r="AE351" s="1">
        <v>175.3</v>
      </c>
      <c r="AF351" s="6">
        <f t="shared" si="20"/>
        <v>178.63846153846154</v>
      </c>
      <c r="AG351" s="6">
        <f t="shared" si="21"/>
        <v>177.73333333333335</v>
      </c>
      <c r="AH351" s="6">
        <f t="shared" si="22"/>
        <v>170.56666666666669</v>
      </c>
      <c r="AI351" s="6">
        <f t="shared" si="23"/>
        <v>169.44</v>
      </c>
      <c r="AJ351" s="6">
        <f>IFERROR(AVERAGE(Main[[#This Row],[Health]],Main[[#This Row],[Personal care and effects]]),"NA")</f>
        <v>173.5</v>
      </c>
    </row>
    <row r="352" spans="1:56" ht="13.2" x14ac:dyDescent="0.25">
      <c r="A352" s="1" t="s">
        <v>40</v>
      </c>
      <c r="B352" s="1">
        <v>2022</v>
      </c>
      <c r="C352" s="1" t="s">
        <v>49</v>
      </c>
      <c r="D352" s="8">
        <f>DATEVALUE(Main[[#This Row],[Month]]&amp;Main[[#This Row],[Year]])</f>
        <v>44835</v>
      </c>
      <c r="E352" s="1">
        <v>165.2</v>
      </c>
      <c r="F352" s="1">
        <v>210.9</v>
      </c>
      <c r="G352" s="1">
        <v>170.9</v>
      </c>
      <c r="H352" s="1">
        <v>170.9</v>
      </c>
      <c r="I352" s="1">
        <v>186.5</v>
      </c>
      <c r="J352" s="1">
        <v>163.80000000000001</v>
      </c>
      <c r="K352" s="1">
        <v>199.7</v>
      </c>
      <c r="L352" s="1">
        <v>169.8</v>
      </c>
      <c r="M352" s="1">
        <v>121.9</v>
      </c>
      <c r="N352" s="1">
        <v>199.9</v>
      </c>
      <c r="O352" s="1">
        <v>169.9</v>
      </c>
      <c r="P352" s="1">
        <v>188.3</v>
      </c>
      <c r="Q352" s="1">
        <v>179.6</v>
      </c>
      <c r="R352" s="1">
        <v>196.3</v>
      </c>
      <c r="S352" s="1">
        <v>181.9</v>
      </c>
      <c r="T352" s="1">
        <v>175.3</v>
      </c>
      <c r="U352" s="1">
        <v>181</v>
      </c>
      <c r="V352" s="1">
        <v>171.2</v>
      </c>
      <c r="W352" s="1">
        <v>180.5</v>
      </c>
      <c r="X352" s="1">
        <v>170.4</v>
      </c>
      <c r="Y352" s="1">
        <v>178.7</v>
      </c>
      <c r="Z352" s="1">
        <v>162.9</v>
      </c>
      <c r="AA352" s="1">
        <v>168.2</v>
      </c>
      <c r="AB352" s="1">
        <v>173.4</v>
      </c>
      <c r="AC352" s="1">
        <v>172.1</v>
      </c>
      <c r="AD352" s="1">
        <v>170.5</v>
      </c>
      <c r="AE352" s="1">
        <v>176.7</v>
      </c>
      <c r="AF352" s="6">
        <f t="shared" si="20"/>
        <v>176.71538461538464</v>
      </c>
      <c r="AG352" s="6">
        <f t="shared" si="21"/>
        <v>178.33333333333334</v>
      </c>
      <c r="AH352" s="6">
        <f t="shared" si="22"/>
        <v>179.4</v>
      </c>
      <c r="AI352" s="6">
        <f t="shared" si="23"/>
        <v>171.68</v>
      </c>
      <c r="AJ352" s="6">
        <f>IFERROR(AVERAGE(Main[[#This Row],[Health]],Main[[#This Row],[Personal care and effects]]),"NA")</f>
        <v>175.39999999999998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 spans="1:56" ht="13.2" x14ac:dyDescent="0.25">
      <c r="A353" s="1" t="s">
        <v>36</v>
      </c>
      <c r="B353" s="1">
        <v>2022</v>
      </c>
      <c r="C353" s="1" t="s">
        <v>50</v>
      </c>
      <c r="D353" s="8">
        <f>DATEVALUE(Main[[#This Row],[Month]]&amp;Main[[#This Row],[Year]])</f>
        <v>44866</v>
      </c>
      <c r="E353" s="1">
        <v>166.9</v>
      </c>
      <c r="F353" s="1">
        <v>207.2</v>
      </c>
      <c r="G353" s="1">
        <v>180.2</v>
      </c>
      <c r="H353" s="1">
        <v>172.3</v>
      </c>
      <c r="I353" s="1">
        <v>194</v>
      </c>
      <c r="J353" s="1">
        <v>159.1</v>
      </c>
      <c r="K353" s="1">
        <v>171.6</v>
      </c>
      <c r="L353" s="1">
        <v>170.2</v>
      </c>
      <c r="M353" s="1">
        <v>121.5</v>
      </c>
      <c r="N353" s="1">
        <v>204.8</v>
      </c>
      <c r="O353" s="1">
        <v>176.4</v>
      </c>
      <c r="P353" s="1">
        <v>186.9</v>
      </c>
      <c r="Q353" s="1">
        <v>176.6</v>
      </c>
      <c r="R353" s="1">
        <v>195.5</v>
      </c>
      <c r="S353" s="1">
        <v>187.2</v>
      </c>
      <c r="T353" s="1">
        <v>185.2</v>
      </c>
      <c r="U353" s="1">
        <v>186.9</v>
      </c>
      <c r="V353" s="1" t="s">
        <v>38</v>
      </c>
      <c r="W353" s="1">
        <v>181.9</v>
      </c>
      <c r="X353" s="1">
        <v>175.5</v>
      </c>
      <c r="Y353" s="1">
        <v>182.3</v>
      </c>
      <c r="Z353" s="1">
        <v>167.5</v>
      </c>
      <c r="AA353" s="1">
        <v>170.8</v>
      </c>
      <c r="AB353" s="1">
        <v>176.9</v>
      </c>
      <c r="AC353" s="1">
        <v>173.4</v>
      </c>
      <c r="AD353" s="1">
        <v>174.6</v>
      </c>
      <c r="AE353" s="1">
        <v>177.8</v>
      </c>
      <c r="AF353" s="6">
        <f t="shared" si="20"/>
        <v>175.97692307692307</v>
      </c>
      <c r="AG353" s="6">
        <f t="shared" si="21"/>
        <v>180.29999999999998</v>
      </c>
      <c r="AH353" s="6">
        <f t="shared" si="22"/>
        <v>186.43333333333331</v>
      </c>
      <c r="AI353" s="6">
        <f t="shared" si="23"/>
        <v>175.45</v>
      </c>
      <c r="AJ353" s="6">
        <f>IFERROR(AVERAGE(Main[[#This Row],[Health]],Main[[#This Row],[Personal care and effects]]),"NA")</f>
        <v>177.85000000000002</v>
      </c>
    </row>
    <row r="354" spans="1:56" ht="13.2" x14ac:dyDescent="0.25">
      <c r="A354" s="1" t="s">
        <v>39</v>
      </c>
      <c r="B354" s="1">
        <v>2022</v>
      </c>
      <c r="C354" s="1" t="s">
        <v>50</v>
      </c>
      <c r="D354" s="8">
        <f>DATEVALUE(Main[[#This Row],[Month]]&amp;Main[[#This Row],[Year]])</f>
        <v>44866</v>
      </c>
      <c r="E354" s="1">
        <v>168.4</v>
      </c>
      <c r="F354" s="1">
        <v>213.4</v>
      </c>
      <c r="G354" s="1">
        <v>183.2</v>
      </c>
      <c r="H354" s="1">
        <v>172.3</v>
      </c>
      <c r="I354" s="1">
        <v>180</v>
      </c>
      <c r="J354" s="1">
        <v>162.6</v>
      </c>
      <c r="K354" s="1">
        <v>205.5</v>
      </c>
      <c r="L354" s="1">
        <v>171</v>
      </c>
      <c r="M354" s="1">
        <v>123.4</v>
      </c>
      <c r="N354" s="1">
        <v>198.8</v>
      </c>
      <c r="O354" s="1">
        <v>162.1</v>
      </c>
      <c r="P354" s="1">
        <v>192.4</v>
      </c>
      <c r="Q354" s="1">
        <v>181.3</v>
      </c>
      <c r="R354" s="1">
        <v>200.6</v>
      </c>
      <c r="S354" s="1">
        <v>176.7</v>
      </c>
      <c r="T354" s="1">
        <v>163.5</v>
      </c>
      <c r="U354" s="1">
        <v>174.7</v>
      </c>
      <c r="V354" s="1">
        <v>171.8</v>
      </c>
      <c r="W354" s="1">
        <v>180.3</v>
      </c>
      <c r="X354" s="1">
        <v>166.9</v>
      </c>
      <c r="Y354" s="1">
        <v>175.8</v>
      </c>
      <c r="Z354" s="1">
        <v>158.9</v>
      </c>
      <c r="AA354" s="1">
        <v>166.7</v>
      </c>
      <c r="AB354" s="1">
        <v>171.5</v>
      </c>
      <c r="AC354" s="1">
        <v>173.8</v>
      </c>
      <c r="AD354" s="1">
        <v>167.4</v>
      </c>
      <c r="AE354" s="1">
        <v>174.1</v>
      </c>
      <c r="AF354" s="6">
        <f t="shared" si="20"/>
        <v>178.03076923076924</v>
      </c>
      <c r="AG354" s="6">
        <f t="shared" si="21"/>
        <v>178.23333333333332</v>
      </c>
      <c r="AH354" s="6">
        <f t="shared" si="22"/>
        <v>171.63333333333333</v>
      </c>
      <c r="AI354" s="6">
        <f t="shared" si="23"/>
        <v>169.88</v>
      </c>
      <c r="AJ354" s="6">
        <f>IFERROR(AVERAGE(Main[[#This Row],[Health]],Main[[#This Row],[Personal care and effects]]),"NA")</f>
        <v>174.8</v>
      </c>
    </row>
    <row r="355" spans="1:56" ht="13.2" x14ac:dyDescent="0.25">
      <c r="A355" s="1" t="s">
        <v>40</v>
      </c>
      <c r="B355" s="1">
        <v>2022</v>
      </c>
      <c r="C355" s="1" t="s">
        <v>50</v>
      </c>
      <c r="D355" s="8">
        <f>DATEVALUE(Main[[#This Row],[Month]]&amp;Main[[#This Row],[Year]])</f>
        <v>44866</v>
      </c>
      <c r="E355" s="1">
        <v>167.4</v>
      </c>
      <c r="F355" s="1">
        <v>209.4</v>
      </c>
      <c r="G355" s="1">
        <v>181.4</v>
      </c>
      <c r="H355" s="1">
        <v>172.3</v>
      </c>
      <c r="I355" s="1">
        <v>188.9</v>
      </c>
      <c r="J355" s="1">
        <v>160.69999999999999</v>
      </c>
      <c r="K355" s="1">
        <v>183.1</v>
      </c>
      <c r="L355" s="1">
        <v>170.5</v>
      </c>
      <c r="M355" s="1">
        <v>122.1</v>
      </c>
      <c r="N355" s="1">
        <v>202.8</v>
      </c>
      <c r="O355" s="1">
        <v>170.4</v>
      </c>
      <c r="P355" s="1">
        <v>189.5</v>
      </c>
      <c r="Q355" s="1">
        <v>178.3</v>
      </c>
      <c r="R355" s="1">
        <v>196.9</v>
      </c>
      <c r="S355" s="1">
        <v>183.1</v>
      </c>
      <c r="T355" s="1">
        <v>176.2</v>
      </c>
      <c r="U355" s="1">
        <v>182.1</v>
      </c>
      <c r="V355" s="1">
        <v>171.8</v>
      </c>
      <c r="W355" s="1">
        <v>181.3</v>
      </c>
      <c r="X355" s="1">
        <v>171.4</v>
      </c>
      <c r="Y355" s="1">
        <v>179.8</v>
      </c>
      <c r="Z355" s="1">
        <v>163</v>
      </c>
      <c r="AA355" s="1">
        <v>168.5</v>
      </c>
      <c r="AB355" s="1">
        <v>173.7</v>
      </c>
      <c r="AC355" s="1">
        <v>173.6</v>
      </c>
      <c r="AD355" s="1">
        <v>171.1</v>
      </c>
      <c r="AE355" s="1">
        <v>176.5</v>
      </c>
      <c r="AF355" s="6">
        <f t="shared" si="20"/>
        <v>176.67692307692309</v>
      </c>
      <c r="AG355" s="6">
        <f t="shared" si="21"/>
        <v>178.83333333333334</v>
      </c>
      <c r="AH355" s="6">
        <f t="shared" si="22"/>
        <v>180.46666666666667</v>
      </c>
      <c r="AI355" s="6">
        <f t="shared" si="23"/>
        <v>172.24</v>
      </c>
      <c r="AJ355" s="6">
        <f>IFERROR(AVERAGE(Main[[#This Row],[Health]],Main[[#This Row],[Personal care and effects]]),"NA")</f>
        <v>176.7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 spans="1:56" ht="13.2" x14ac:dyDescent="0.25">
      <c r="A356" s="1" t="s">
        <v>36</v>
      </c>
      <c r="B356" s="1">
        <v>2022</v>
      </c>
      <c r="C356" s="1" t="s">
        <v>51</v>
      </c>
      <c r="D356" s="8">
        <f>DATEVALUE(Main[[#This Row],[Month]]&amp;Main[[#This Row],[Year]])</f>
        <v>44896</v>
      </c>
      <c r="E356" s="1">
        <v>168.8</v>
      </c>
      <c r="F356" s="1">
        <v>206.9</v>
      </c>
      <c r="G356" s="1">
        <v>189.1</v>
      </c>
      <c r="H356" s="1">
        <v>173.4</v>
      </c>
      <c r="I356" s="1">
        <v>193.9</v>
      </c>
      <c r="J356" s="1">
        <v>156.69999999999999</v>
      </c>
      <c r="K356" s="1">
        <v>150.19999999999999</v>
      </c>
      <c r="L356" s="1">
        <v>170.5</v>
      </c>
      <c r="M356" s="1">
        <v>121.2</v>
      </c>
      <c r="N356" s="1">
        <v>207.5</v>
      </c>
      <c r="O356" s="1">
        <v>176.8</v>
      </c>
      <c r="P356" s="1">
        <v>187.7</v>
      </c>
      <c r="Q356" s="1">
        <v>174.4</v>
      </c>
      <c r="R356" s="1">
        <v>195.9</v>
      </c>
      <c r="S356" s="1">
        <v>188.1</v>
      </c>
      <c r="T356" s="1">
        <v>185.9</v>
      </c>
      <c r="U356" s="1">
        <v>187.8</v>
      </c>
      <c r="V356" s="1" t="s">
        <v>38</v>
      </c>
      <c r="W356" s="1">
        <v>182.8</v>
      </c>
      <c r="X356" s="1">
        <v>176.4</v>
      </c>
      <c r="Y356" s="1">
        <v>183.5</v>
      </c>
      <c r="Z356" s="1">
        <v>167.8</v>
      </c>
      <c r="AA356" s="1">
        <v>171.2</v>
      </c>
      <c r="AB356" s="1">
        <v>177.3</v>
      </c>
      <c r="AC356" s="1">
        <v>175.7</v>
      </c>
      <c r="AD356" s="1">
        <v>175.5</v>
      </c>
      <c r="AE356" s="1">
        <v>177.1</v>
      </c>
      <c r="AF356" s="6">
        <f t="shared" si="20"/>
        <v>175.16153846153844</v>
      </c>
      <c r="AG356" s="6">
        <f t="shared" si="21"/>
        <v>180.86666666666667</v>
      </c>
      <c r="AH356" s="6">
        <f t="shared" si="22"/>
        <v>187.26666666666665</v>
      </c>
      <c r="AI356" s="6">
        <f t="shared" si="23"/>
        <v>176.07499999999999</v>
      </c>
      <c r="AJ356" s="6">
        <f>IFERROR(AVERAGE(Main[[#This Row],[Health]],Main[[#This Row],[Personal care and effects]]),"NA")</f>
        <v>179.6</v>
      </c>
    </row>
    <row r="357" spans="1:56" ht="13.2" x14ac:dyDescent="0.25">
      <c r="A357" s="1" t="s">
        <v>39</v>
      </c>
      <c r="B357" s="1">
        <v>2022</v>
      </c>
      <c r="C357" s="1" t="s">
        <v>51</v>
      </c>
      <c r="D357" s="8">
        <f>DATEVALUE(Main[[#This Row],[Month]]&amp;Main[[#This Row],[Year]])</f>
        <v>44896</v>
      </c>
      <c r="E357" s="1">
        <v>170.2</v>
      </c>
      <c r="F357" s="1">
        <v>212.9</v>
      </c>
      <c r="G357" s="1">
        <v>191.9</v>
      </c>
      <c r="H357" s="1">
        <v>173.9</v>
      </c>
      <c r="I357" s="1">
        <v>179.1</v>
      </c>
      <c r="J357" s="1">
        <v>159.5</v>
      </c>
      <c r="K357" s="1">
        <v>178.7</v>
      </c>
      <c r="L357" s="1">
        <v>171.3</v>
      </c>
      <c r="M357" s="1">
        <v>123.1</v>
      </c>
      <c r="N357" s="1">
        <v>200.5</v>
      </c>
      <c r="O357" s="1">
        <v>162.80000000000001</v>
      </c>
      <c r="P357" s="1">
        <v>193.3</v>
      </c>
      <c r="Q357" s="1">
        <v>178.6</v>
      </c>
      <c r="R357" s="1">
        <v>201.1</v>
      </c>
      <c r="S357" s="1">
        <v>177.7</v>
      </c>
      <c r="T357" s="1">
        <v>164.5</v>
      </c>
      <c r="U357" s="1">
        <v>175.7</v>
      </c>
      <c r="V357" s="1">
        <v>170.7</v>
      </c>
      <c r="W357" s="1">
        <v>180.6</v>
      </c>
      <c r="X357" s="1">
        <v>167.3</v>
      </c>
      <c r="Y357" s="1">
        <v>177.2</v>
      </c>
      <c r="Z357" s="1">
        <v>159.4</v>
      </c>
      <c r="AA357" s="1">
        <v>167.1</v>
      </c>
      <c r="AB357" s="1">
        <v>171.8</v>
      </c>
      <c r="AC357" s="1">
        <v>176</v>
      </c>
      <c r="AD357" s="1">
        <v>168.2</v>
      </c>
      <c r="AE357" s="1">
        <v>174.1</v>
      </c>
      <c r="AF357" s="6">
        <f t="shared" si="20"/>
        <v>176.59999999999997</v>
      </c>
      <c r="AG357" s="6">
        <f t="shared" si="21"/>
        <v>178.79999999999998</v>
      </c>
      <c r="AH357" s="6">
        <f t="shared" si="22"/>
        <v>172.63333333333333</v>
      </c>
      <c r="AI357" s="6">
        <f t="shared" si="23"/>
        <v>169.95999999999998</v>
      </c>
      <c r="AJ357" s="6">
        <f>IFERROR(AVERAGE(Main[[#This Row],[Health]],Main[[#This Row],[Personal care and effects]]),"NA")</f>
        <v>176.6</v>
      </c>
    </row>
    <row r="358" spans="1:56" ht="13.2" x14ac:dyDescent="0.25">
      <c r="A358" s="1" t="s">
        <v>40</v>
      </c>
      <c r="B358" s="1">
        <v>2022</v>
      </c>
      <c r="C358" s="1" t="s">
        <v>51</v>
      </c>
      <c r="D358" s="8">
        <f>DATEVALUE(Main[[#This Row],[Month]]&amp;Main[[#This Row],[Year]])</f>
        <v>44896</v>
      </c>
      <c r="E358" s="1">
        <v>169.2</v>
      </c>
      <c r="F358" s="1">
        <v>209</v>
      </c>
      <c r="G358" s="1">
        <v>190.2</v>
      </c>
      <c r="H358" s="1">
        <v>173.6</v>
      </c>
      <c r="I358" s="1">
        <v>188.5</v>
      </c>
      <c r="J358" s="1">
        <v>158</v>
      </c>
      <c r="K358" s="1">
        <v>159.9</v>
      </c>
      <c r="L358" s="1">
        <v>170.8</v>
      </c>
      <c r="M358" s="1">
        <v>121.8</v>
      </c>
      <c r="N358" s="1">
        <v>205.2</v>
      </c>
      <c r="O358" s="1">
        <v>171</v>
      </c>
      <c r="P358" s="1">
        <v>190.3</v>
      </c>
      <c r="Q358" s="1">
        <v>175.9</v>
      </c>
      <c r="R358" s="1">
        <v>197.3</v>
      </c>
      <c r="S358" s="1">
        <v>184</v>
      </c>
      <c r="T358" s="1">
        <v>177</v>
      </c>
      <c r="U358" s="1">
        <v>183</v>
      </c>
      <c r="V358" s="1">
        <v>170.7</v>
      </c>
      <c r="W358" s="1">
        <v>182</v>
      </c>
      <c r="X358" s="1">
        <v>172.1</v>
      </c>
      <c r="Y358" s="1">
        <v>181.1</v>
      </c>
      <c r="Z358" s="1">
        <v>163.4</v>
      </c>
      <c r="AA358" s="1">
        <v>168.9</v>
      </c>
      <c r="AB358" s="1">
        <v>174.1</v>
      </c>
      <c r="AC358" s="1">
        <v>175.8</v>
      </c>
      <c r="AD358" s="1">
        <v>172</v>
      </c>
      <c r="AE358" s="1">
        <v>175.7</v>
      </c>
      <c r="AF358" s="6">
        <f t="shared" si="20"/>
        <v>175.64615384615385</v>
      </c>
      <c r="AG358" s="6">
        <f t="shared" si="21"/>
        <v>179.4</v>
      </c>
      <c r="AH358" s="6">
        <f t="shared" si="22"/>
        <v>181.33333333333334</v>
      </c>
      <c r="AI358" s="6">
        <f t="shared" si="23"/>
        <v>172.45999999999998</v>
      </c>
      <c r="AJ358" s="6">
        <f>IFERROR(AVERAGE(Main[[#This Row],[Health]],Main[[#This Row],[Personal care and effects]]),"NA")</f>
        <v>178.45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 spans="1:56" ht="13.2" x14ac:dyDescent="0.25">
      <c r="A359" s="1" t="s">
        <v>36</v>
      </c>
      <c r="B359" s="1">
        <v>2023</v>
      </c>
      <c r="C359" s="1" t="s">
        <v>37</v>
      </c>
      <c r="D359" s="8">
        <f>DATEVALUE(Main[[#This Row],[Month]]&amp;Main[[#This Row],[Year]])</f>
        <v>44927</v>
      </c>
      <c r="E359" s="1">
        <v>174</v>
      </c>
      <c r="F359" s="1">
        <v>208.3</v>
      </c>
      <c r="G359" s="1">
        <v>192.9</v>
      </c>
      <c r="H359" s="1">
        <v>174.3</v>
      </c>
      <c r="I359" s="1">
        <v>192.6</v>
      </c>
      <c r="J359" s="1">
        <v>156.30000000000001</v>
      </c>
      <c r="K359" s="1">
        <v>142.9</v>
      </c>
      <c r="L359" s="1">
        <v>170.7</v>
      </c>
      <c r="M359" s="1">
        <v>120.3</v>
      </c>
      <c r="N359" s="1">
        <v>210.5</v>
      </c>
      <c r="O359" s="1">
        <v>176.9</v>
      </c>
      <c r="P359" s="1">
        <v>188.5</v>
      </c>
      <c r="Q359" s="1">
        <v>175</v>
      </c>
      <c r="R359" s="1">
        <v>196.9</v>
      </c>
      <c r="S359" s="1">
        <v>189</v>
      </c>
      <c r="T359" s="1">
        <v>186.3</v>
      </c>
      <c r="U359" s="1">
        <v>188.6</v>
      </c>
      <c r="V359" s="1" t="s">
        <v>38</v>
      </c>
      <c r="W359" s="1">
        <v>183.2</v>
      </c>
      <c r="X359" s="1">
        <v>177.2</v>
      </c>
      <c r="Y359" s="1">
        <v>184.7</v>
      </c>
      <c r="Z359" s="1">
        <v>168.2</v>
      </c>
      <c r="AA359" s="1">
        <v>171.8</v>
      </c>
      <c r="AB359" s="1">
        <v>177.8</v>
      </c>
      <c r="AC359" s="1">
        <v>178.4</v>
      </c>
      <c r="AD359" s="1">
        <v>176.5</v>
      </c>
      <c r="AE359" s="1">
        <v>177.8</v>
      </c>
      <c r="AF359" s="6">
        <f t="shared" si="20"/>
        <v>175.63076923076926</v>
      </c>
      <c r="AG359" s="6">
        <f t="shared" si="21"/>
        <v>181.73333333333335</v>
      </c>
      <c r="AH359" s="6">
        <f t="shared" si="22"/>
        <v>187.96666666666667</v>
      </c>
      <c r="AI359" s="6">
        <f t="shared" si="23"/>
        <v>176.59999999999997</v>
      </c>
      <c r="AJ359" s="6">
        <f>IFERROR(AVERAGE(Main[[#This Row],[Health]],Main[[#This Row],[Personal care and effects]]),"NA")</f>
        <v>181.55</v>
      </c>
    </row>
    <row r="360" spans="1:56" ht="13.2" x14ac:dyDescent="0.25">
      <c r="A360" s="1" t="s">
        <v>39</v>
      </c>
      <c r="B360" s="1">
        <v>2023</v>
      </c>
      <c r="C360" s="1" t="s">
        <v>37</v>
      </c>
      <c r="D360" s="8">
        <f>DATEVALUE(Main[[#This Row],[Month]]&amp;Main[[#This Row],[Year]])</f>
        <v>44927</v>
      </c>
      <c r="E360" s="1">
        <v>173.3</v>
      </c>
      <c r="F360" s="1">
        <v>215.2</v>
      </c>
      <c r="G360" s="1">
        <v>197</v>
      </c>
      <c r="H360" s="1">
        <v>175.2</v>
      </c>
      <c r="I360" s="1">
        <v>178</v>
      </c>
      <c r="J360" s="1">
        <v>160.5</v>
      </c>
      <c r="K360" s="1">
        <v>175.3</v>
      </c>
      <c r="L360" s="1">
        <v>171.2</v>
      </c>
      <c r="M360" s="1">
        <v>122.7</v>
      </c>
      <c r="N360" s="1">
        <v>204.3</v>
      </c>
      <c r="O360" s="1">
        <v>163.69999999999999</v>
      </c>
      <c r="P360" s="1">
        <v>194.3</v>
      </c>
      <c r="Q360" s="1">
        <v>179.5</v>
      </c>
      <c r="R360" s="1">
        <v>201.6</v>
      </c>
      <c r="S360" s="1">
        <v>178.7</v>
      </c>
      <c r="T360" s="1">
        <v>165.3</v>
      </c>
      <c r="U360" s="1">
        <v>176.6</v>
      </c>
      <c r="V360" s="1">
        <v>172.1</v>
      </c>
      <c r="W360" s="1">
        <v>180.1</v>
      </c>
      <c r="X360" s="1">
        <v>168</v>
      </c>
      <c r="Y360" s="1">
        <v>178.5</v>
      </c>
      <c r="Z360" s="1">
        <v>159.5</v>
      </c>
      <c r="AA360" s="1">
        <v>167.8</v>
      </c>
      <c r="AB360" s="1">
        <v>171.8</v>
      </c>
      <c r="AC360" s="1">
        <v>178.8</v>
      </c>
      <c r="AD360" s="1">
        <v>168.9</v>
      </c>
      <c r="AE360" s="1">
        <v>174.9</v>
      </c>
      <c r="AF360" s="6">
        <f t="shared" si="20"/>
        <v>177.70769230769233</v>
      </c>
      <c r="AG360" s="6">
        <f t="shared" si="21"/>
        <v>179.43333333333331</v>
      </c>
      <c r="AH360" s="6">
        <f t="shared" si="22"/>
        <v>173.53333333333333</v>
      </c>
      <c r="AI360" s="6">
        <f t="shared" si="23"/>
        <v>170.3</v>
      </c>
      <c r="AJ360" s="6">
        <f>IFERROR(AVERAGE(Main[[#This Row],[Health]],Main[[#This Row],[Personal care and effects]]),"NA")</f>
        <v>178.65</v>
      </c>
    </row>
    <row r="361" spans="1:56" ht="13.2" x14ac:dyDescent="0.25">
      <c r="A361" s="1" t="s">
        <v>40</v>
      </c>
      <c r="B361" s="1">
        <v>2023</v>
      </c>
      <c r="C361" s="1" t="s">
        <v>37</v>
      </c>
      <c r="D361" s="8">
        <f>DATEVALUE(Main[[#This Row],[Month]]&amp;Main[[#This Row],[Year]])</f>
        <v>44927</v>
      </c>
      <c r="E361" s="1">
        <v>173.8</v>
      </c>
      <c r="F361" s="1">
        <v>210.7</v>
      </c>
      <c r="G361" s="1">
        <v>194.5</v>
      </c>
      <c r="H361" s="1">
        <v>174.6</v>
      </c>
      <c r="I361" s="1">
        <v>187.2</v>
      </c>
      <c r="J361" s="1">
        <v>158.30000000000001</v>
      </c>
      <c r="K361" s="1">
        <v>153.9</v>
      </c>
      <c r="L361" s="1">
        <v>170.9</v>
      </c>
      <c r="M361" s="1">
        <v>121.1</v>
      </c>
      <c r="N361" s="1">
        <v>208.4</v>
      </c>
      <c r="O361" s="1">
        <v>171.4</v>
      </c>
      <c r="P361" s="1">
        <v>191.2</v>
      </c>
      <c r="Q361" s="1">
        <v>176.7</v>
      </c>
      <c r="R361" s="1">
        <v>198.2</v>
      </c>
      <c r="S361" s="1">
        <v>184.9</v>
      </c>
      <c r="T361" s="1">
        <v>177.6</v>
      </c>
      <c r="U361" s="1">
        <v>183.8</v>
      </c>
      <c r="V361" s="1">
        <v>172.1</v>
      </c>
      <c r="W361" s="1">
        <v>182</v>
      </c>
      <c r="X361" s="1">
        <v>172.9</v>
      </c>
      <c r="Y361" s="1">
        <v>182.3</v>
      </c>
      <c r="Z361" s="1">
        <v>163.6</v>
      </c>
      <c r="AA361" s="1">
        <v>169.5</v>
      </c>
      <c r="AB361" s="1">
        <v>174.3</v>
      </c>
      <c r="AC361" s="1">
        <v>178.6</v>
      </c>
      <c r="AD361" s="1">
        <v>172.8</v>
      </c>
      <c r="AE361" s="1">
        <v>176.5</v>
      </c>
      <c r="AF361" s="6">
        <f t="shared" si="20"/>
        <v>176.36153846153846</v>
      </c>
      <c r="AG361" s="6">
        <f t="shared" si="21"/>
        <v>180.16666666666666</v>
      </c>
      <c r="AH361" s="6">
        <f t="shared" si="22"/>
        <v>182.1</v>
      </c>
      <c r="AI361" s="6">
        <f t="shared" si="23"/>
        <v>172.98000000000002</v>
      </c>
      <c r="AJ361" s="6">
        <f>IFERROR(AVERAGE(Main[[#This Row],[Health]],Main[[#This Row],[Personal care and effects]]),"NA")</f>
        <v>180.45</v>
      </c>
    </row>
    <row r="362" spans="1:56" ht="13.2" x14ac:dyDescent="0.25">
      <c r="A362" s="1" t="s">
        <v>36</v>
      </c>
      <c r="B362" s="1">
        <v>2023</v>
      </c>
      <c r="C362" s="1" t="s">
        <v>41</v>
      </c>
      <c r="D362" s="8">
        <f>DATEVALUE(Main[[#This Row],[Month]]&amp;Main[[#This Row],[Year]])</f>
        <v>44958</v>
      </c>
      <c r="E362" s="1">
        <v>174.2</v>
      </c>
      <c r="F362" s="1">
        <v>205.2</v>
      </c>
      <c r="G362" s="1">
        <v>173.9</v>
      </c>
      <c r="H362" s="1">
        <v>177</v>
      </c>
      <c r="I362" s="1">
        <v>183.4</v>
      </c>
      <c r="J362" s="1">
        <v>167.2</v>
      </c>
      <c r="K362" s="1">
        <v>140.9</v>
      </c>
      <c r="L362" s="1">
        <v>170.4</v>
      </c>
      <c r="M362" s="1">
        <v>119.1</v>
      </c>
      <c r="N362" s="1">
        <v>212.1</v>
      </c>
      <c r="O362" s="1">
        <v>177.6</v>
      </c>
      <c r="P362" s="1">
        <v>189.9</v>
      </c>
      <c r="Q362" s="1">
        <v>174.8</v>
      </c>
      <c r="R362" s="1">
        <v>198.3</v>
      </c>
      <c r="S362" s="1">
        <v>190</v>
      </c>
      <c r="T362" s="1">
        <v>187</v>
      </c>
      <c r="U362" s="1">
        <v>189.6</v>
      </c>
      <c r="V362" s="1" t="s">
        <v>38</v>
      </c>
      <c r="W362" s="1">
        <v>181.6</v>
      </c>
      <c r="X362" s="1">
        <v>178.6</v>
      </c>
      <c r="Y362" s="1">
        <v>186.6</v>
      </c>
      <c r="Z362" s="1">
        <v>169</v>
      </c>
      <c r="AA362" s="1">
        <v>172.8</v>
      </c>
      <c r="AB362" s="1">
        <v>178.5</v>
      </c>
      <c r="AC362" s="1">
        <v>180.7</v>
      </c>
      <c r="AD362" s="1">
        <v>177.9</v>
      </c>
      <c r="AE362" s="1">
        <v>178</v>
      </c>
      <c r="AF362" s="6">
        <f t="shared" si="20"/>
        <v>174.28461538461536</v>
      </c>
      <c r="AG362" s="6">
        <f t="shared" si="21"/>
        <v>183</v>
      </c>
      <c r="AH362" s="6">
        <f t="shared" si="22"/>
        <v>188.86666666666667</v>
      </c>
      <c r="AI362" s="6">
        <f t="shared" si="23"/>
        <v>176.92500000000001</v>
      </c>
      <c r="AJ362" s="6">
        <f>IFERROR(AVERAGE(Main[[#This Row],[Health]],Main[[#This Row],[Personal care and effects]]),"NA")</f>
        <v>183.64999999999998</v>
      </c>
    </row>
    <row r="363" spans="1:56" ht="13.2" x14ac:dyDescent="0.25">
      <c r="A363" s="1" t="s">
        <v>39</v>
      </c>
      <c r="B363" s="1">
        <v>2023</v>
      </c>
      <c r="C363" s="1" t="s">
        <v>41</v>
      </c>
      <c r="D363" s="8">
        <f>DATEVALUE(Main[[#This Row],[Month]]&amp;Main[[#This Row],[Year]])</f>
        <v>44958</v>
      </c>
      <c r="E363" s="1">
        <v>174.7</v>
      </c>
      <c r="F363" s="1">
        <v>212.2</v>
      </c>
      <c r="G363" s="1">
        <v>177.2</v>
      </c>
      <c r="H363" s="1">
        <v>177.9</v>
      </c>
      <c r="I363" s="1">
        <v>172.2</v>
      </c>
      <c r="J363" s="1">
        <v>172.1</v>
      </c>
      <c r="K363" s="1">
        <v>175.8</v>
      </c>
      <c r="L363" s="1">
        <v>172.2</v>
      </c>
      <c r="M363" s="1">
        <v>121.9</v>
      </c>
      <c r="N363" s="1">
        <v>204.8</v>
      </c>
      <c r="O363" s="1">
        <v>164.9</v>
      </c>
      <c r="P363" s="1">
        <v>196.6</v>
      </c>
      <c r="Q363" s="1">
        <v>180.7</v>
      </c>
      <c r="R363" s="1">
        <v>202.7</v>
      </c>
      <c r="S363" s="1">
        <v>180.3</v>
      </c>
      <c r="T363" s="1">
        <v>167</v>
      </c>
      <c r="U363" s="1">
        <v>178.2</v>
      </c>
      <c r="V363" s="1">
        <v>173.5</v>
      </c>
      <c r="W363" s="1">
        <v>182.8</v>
      </c>
      <c r="X363" s="1">
        <v>169.2</v>
      </c>
      <c r="Y363" s="1">
        <v>180.8</v>
      </c>
      <c r="Z363" s="1">
        <v>159.80000000000001</v>
      </c>
      <c r="AA363" s="1">
        <v>168.4</v>
      </c>
      <c r="AB363" s="1">
        <v>172.5</v>
      </c>
      <c r="AC363" s="1">
        <v>181.4</v>
      </c>
      <c r="AD363" s="1">
        <v>170</v>
      </c>
      <c r="AE363" s="1">
        <v>176.3</v>
      </c>
      <c r="AF363" s="6">
        <f t="shared" si="20"/>
        <v>177.16923076923075</v>
      </c>
      <c r="AG363" s="6">
        <f t="shared" si="21"/>
        <v>180.36666666666667</v>
      </c>
      <c r="AH363" s="6">
        <f t="shared" si="22"/>
        <v>175.16666666666666</v>
      </c>
      <c r="AI363" s="6">
        <f t="shared" si="23"/>
        <v>171.56</v>
      </c>
      <c r="AJ363" s="6">
        <f>IFERROR(AVERAGE(Main[[#This Row],[Health]],Main[[#This Row],[Personal care and effects]]),"NA")</f>
        <v>181.10000000000002</v>
      </c>
    </row>
    <row r="364" spans="1:56" ht="13.2" x14ac:dyDescent="0.25">
      <c r="A364" s="1" t="s">
        <v>40</v>
      </c>
      <c r="B364" s="1">
        <v>2023</v>
      </c>
      <c r="C364" s="1" t="s">
        <v>41</v>
      </c>
      <c r="D364" s="8">
        <f>DATEVALUE(Main[[#This Row],[Month]]&amp;Main[[#This Row],[Year]])</f>
        <v>44958</v>
      </c>
      <c r="E364" s="1">
        <v>174.4</v>
      </c>
      <c r="F364" s="1">
        <v>207.7</v>
      </c>
      <c r="G364" s="1">
        <v>175.2</v>
      </c>
      <c r="H364" s="1">
        <v>177.3</v>
      </c>
      <c r="I364" s="1">
        <v>179.3</v>
      </c>
      <c r="J364" s="1">
        <v>169.5</v>
      </c>
      <c r="K364" s="1">
        <v>152.69999999999999</v>
      </c>
      <c r="L364" s="1">
        <v>171</v>
      </c>
      <c r="M364" s="1">
        <v>120</v>
      </c>
      <c r="N364" s="1">
        <v>209.7</v>
      </c>
      <c r="O364" s="1">
        <v>172.3</v>
      </c>
      <c r="P364" s="1">
        <v>193</v>
      </c>
      <c r="Q364" s="1">
        <v>177</v>
      </c>
      <c r="R364" s="1">
        <v>199.5</v>
      </c>
      <c r="S364" s="1">
        <v>186.2</v>
      </c>
      <c r="T364" s="1">
        <v>178.7</v>
      </c>
      <c r="U364" s="1">
        <v>185.1</v>
      </c>
      <c r="V364" s="1">
        <v>173.5</v>
      </c>
      <c r="W364" s="1">
        <v>182.1</v>
      </c>
      <c r="X364" s="1">
        <v>174.2</v>
      </c>
      <c r="Y364" s="1">
        <v>184.4</v>
      </c>
      <c r="Z364" s="1">
        <v>164.2</v>
      </c>
      <c r="AA364" s="1">
        <v>170.3</v>
      </c>
      <c r="AB364" s="1">
        <v>175</v>
      </c>
      <c r="AC364" s="1">
        <v>181</v>
      </c>
      <c r="AD364" s="1">
        <v>174.1</v>
      </c>
      <c r="AE364" s="1">
        <v>177.2</v>
      </c>
      <c r="AF364" s="6">
        <f t="shared" si="20"/>
        <v>175.3153846153846</v>
      </c>
      <c r="AG364" s="6">
        <f t="shared" si="21"/>
        <v>181.29999999999998</v>
      </c>
      <c r="AH364" s="6">
        <f t="shared" si="22"/>
        <v>183.33333333333334</v>
      </c>
      <c r="AI364" s="6">
        <f t="shared" si="23"/>
        <v>173.8</v>
      </c>
      <c r="AJ364" s="6">
        <f>IFERROR(AVERAGE(Main[[#This Row],[Health]],Main[[#This Row],[Personal care and effects]]),"NA")</f>
        <v>182.7</v>
      </c>
    </row>
    <row r="365" spans="1:56" ht="13.2" x14ac:dyDescent="0.25">
      <c r="A365" s="1" t="s">
        <v>36</v>
      </c>
      <c r="B365" s="1">
        <v>2023</v>
      </c>
      <c r="C365" s="1" t="s">
        <v>42</v>
      </c>
      <c r="D365" s="8">
        <f>DATEVALUE(Main[[#This Row],[Month]]&amp;Main[[#This Row],[Year]])</f>
        <v>44986</v>
      </c>
      <c r="E365" s="1">
        <v>174.3</v>
      </c>
      <c r="F365" s="1">
        <v>205.2</v>
      </c>
      <c r="G365" s="1">
        <v>173.9</v>
      </c>
      <c r="H365" s="1">
        <v>177</v>
      </c>
      <c r="I365" s="1">
        <v>183.3</v>
      </c>
      <c r="J365" s="1">
        <v>167.2</v>
      </c>
      <c r="K365" s="1">
        <v>140.9</v>
      </c>
      <c r="L365" s="1">
        <v>170.5</v>
      </c>
      <c r="M365" s="1">
        <v>119.1</v>
      </c>
      <c r="N365" s="1">
        <v>212.1</v>
      </c>
      <c r="O365" s="1">
        <v>177.6</v>
      </c>
      <c r="P365" s="1">
        <v>189.9</v>
      </c>
      <c r="Q365" s="1">
        <v>174.8</v>
      </c>
      <c r="R365" s="1">
        <v>198.4</v>
      </c>
      <c r="S365" s="1">
        <v>190</v>
      </c>
      <c r="T365" s="1">
        <v>187</v>
      </c>
      <c r="U365" s="1">
        <v>189.6</v>
      </c>
      <c r="V365" s="1" t="s">
        <v>38</v>
      </c>
      <c r="W365" s="1">
        <v>181.4</v>
      </c>
      <c r="X365" s="1">
        <v>178.6</v>
      </c>
      <c r="Y365" s="1">
        <v>186.6</v>
      </c>
      <c r="Z365" s="1">
        <v>169</v>
      </c>
      <c r="AA365" s="1">
        <v>172.8</v>
      </c>
      <c r="AB365" s="1">
        <v>178.5</v>
      </c>
      <c r="AC365" s="1">
        <v>180.7</v>
      </c>
      <c r="AD365" s="1">
        <v>177.9</v>
      </c>
      <c r="AE365" s="1">
        <v>178</v>
      </c>
      <c r="AF365" s="6">
        <f t="shared" si="20"/>
        <v>174.2923076923077</v>
      </c>
      <c r="AG365" s="6">
        <f t="shared" si="21"/>
        <v>183.03333333333333</v>
      </c>
      <c r="AH365" s="6">
        <f t="shared" si="22"/>
        <v>188.86666666666667</v>
      </c>
      <c r="AI365" s="6">
        <f t="shared" si="23"/>
        <v>176.875</v>
      </c>
      <c r="AJ365" s="6">
        <f>IFERROR(AVERAGE(Main[[#This Row],[Health]],Main[[#This Row],[Personal care and effects]]),"NA")</f>
        <v>183.64999999999998</v>
      </c>
    </row>
    <row r="366" spans="1:56" ht="13.2" x14ac:dyDescent="0.25">
      <c r="A366" s="1" t="s">
        <v>39</v>
      </c>
      <c r="B366" s="1">
        <v>2023</v>
      </c>
      <c r="C366" s="1" t="s">
        <v>42</v>
      </c>
      <c r="D366" s="8">
        <f>DATEVALUE(Main[[#This Row],[Month]]&amp;Main[[#This Row],[Year]])</f>
        <v>44986</v>
      </c>
      <c r="E366" s="1">
        <v>174.7</v>
      </c>
      <c r="F366" s="1">
        <v>212.2</v>
      </c>
      <c r="G366" s="1">
        <v>177.2</v>
      </c>
      <c r="H366" s="1">
        <v>177.9</v>
      </c>
      <c r="I366" s="1">
        <v>172.2</v>
      </c>
      <c r="J366" s="1">
        <v>172.1</v>
      </c>
      <c r="K366" s="1">
        <v>175.9</v>
      </c>
      <c r="L366" s="1">
        <v>172.2</v>
      </c>
      <c r="M366" s="1">
        <v>121.9</v>
      </c>
      <c r="N366" s="1">
        <v>204.8</v>
      </c>
      <c r="O366" s="1">
        <v>164.9</v>
      </c>
      <c r="P366" s="1">
        <v>196.6</v>
      </c>
      <c r="Q366" s="1">
        <v>180.8</v>
      </c>
      <c r="R366" s="1">
        <v>202.7</v>
      </c>
      <c r="S366" s="1">
        <v>180.2</v>
      </c>
      <c r="T366" s="1">
        <v>167</v>
      </c>
      <c r="U366" s="1">
        <v>178.2</v>
      </c>
      <c r="V366" s="1">
        <v>173.5</v>
      </c>
      <c r="W366" s="1">
        <v>182.6</v>
      </c>
      <c r="X366" s="1">
        <v>169.2</v>
      </c>
      <c r="Y366" s="1">
        <v>180.8</v>
      </c>
      <c r="Z366" s="1">
        <v>159.80000000000001</v>
      </c>
      <c r="AA366" s="1">
        <v>168.4</v>
      </c>
      <c r="AB366" s="1">
        <v>172.5</v>
      </c>
      <c r="AC366" s="1">
        <v>181.5</v>
      </c>
      <c r="AD366" s="1">
        <v>170</v>
      </c>
      <c r="AE366" s="1">
        <v>176.3</v>
      </c>
      <c r="AF366" s="6">
        <f t="shared" si="20"/>
        <v>177.1846153846154</v>
      </c>
      <c r="AG366" s="6">
        <f t="shared" si="21"/>
        <v>180.36666666666667</v>
      </c>
      <c r="AH366" s="6">
        <f t="shared" si="22"/>
        <v>175.13333333333333</v>
      </c>
      <c r="AI366" s="6">
        <f t="shared" si="23"/>
        <v>171.51999999999998</v>
      </c>
      <c r="AJ366" s="6">
        <f>IFERROR(AVERAGE(Main[[#This Row],[Health]],Main[[#This Row],[Personal care and effects]]),"NA")</f>
        <v>181.15</v>
      </c>
    </row>
    <row r="367" spans="1:56" ht="13.2" x14ac:dyDescent="0.25">
      <c r="A367" s="1" t="s">
        <v>40</v>
      </c>
      <c r="B367" s="1">
        <v>2023</v>
      </c>
      <c r="C367" s="1" t="s">
        <v>42</v>
      </c>
      <c r="D367" s="8">
        <f>DATEVALUE(Main[[#This Row],[Month]]&amp;Main[[#This Row],[Year]])</f>
        <v>44986</v>
      </c>
      <c r="E367" s="1">
        <v>174.4</v>
      </c>
      <c r="F367" s="1">
        <v>207.7</v>
      </c>
      <c r="G367" s="1">
        <v>175.2</v>
      </c>
      <c r="H367" s="1">
        <v>177.3</v>
      </c>
      <c r="I367" s="1">
        <v>179.2</v>
      </c>
      <c r="J367" s="1">
        <v>169.5</v>
      </c>
      <c r="K367" s="1">
        <v>152.80000000000001</v>
      </c>
      <c r="L367" s="1">
        <v>171.1</v>
      </c>
      <c r="M367" s="1">
        <v>120</v>
      </c>
      <c r="N367" s="1">
        <v>209.7</v>
      </c>
      <c r="O367" s="1">
        <v>172.3</v>
      </c>
      <c r="P367" s="1">
        <v>193</v>
      </c>
      <c r="Q367" s="1">
        <v>177</v>
      </c>
      <c r="R367" s="1">
        <v>199.5</v>
      </c>
      <c r="S367" s="1">
        <v>186.1</v>
      </c>
      <c r="T367" s="1">
        <v>178.7</v>
      </c>
      <c r="U367" s="1">
        <v>185.1</v>
      </c>
      <c r="V367" s="1">
        <v>173.5</v>
      </c>
      <c r="W367" s="1">
        <v>181.9</v>
      </c>
      <c r="X367" s="1">
        <v>174.2</v>
      </c>
      <c r="Y367" s="1">
        <v>184.4</v>
      </c>
      <c r="Z367" s="1">
        <v>164.2</v>
      </c>
      <c r="AA367" s="1">
        <v>170.3</v>
      </c>
      <c r="AB367" s="1">
        <v>175</v>
      </c>
      <c r="AC367" s="1">
        <v>181</v>
      </c>
      <c r="AD367" s="1">
        <v>174.1</v>
      </c>
      <c r="AE367" s="1">
        <v>177.2</v>
      </c>
      <c r="AF367" s="6">
        <f t="shared" si="20"/>
        <v>175.32307692307691</v>
      </c>
      <c r="AG367" s="6">
        <f t="shared" si="21"/>
        <v>181.29999999999998</v>
      </c>
      <c r="AH367" s="6">
        <f t="shared" si="22"/>
        <v>183.29999999999998</v>
      </c>
      <c r="AI367" s="6">
        <f t="shared" si="23"/>
        <v>173.76</v>
      </c>
      <c r="AJ367" s="6">
        <f>IFERROR(AVERAGE(Main[[#This Row],[Health]],Main[[#This Row],[Personal care and effects]]),"NA")</f>
        <v>182.7</v>
      </c>
    </row>
    <row r="368" spans="1:56" ht="13.2" x14ac:dyDescent="0.25">
      <c r="A368" s="1" t="s">
        <v>36</v>
      </c>
      <c r="B368" s="1">
        <v>2023</v>
      </c>
      <c r="C368" s="1" t="s">
        <v>43</v>
      </c>
      <c r="D368" s="8">
        <f>DATEVALUE(Main[[#This Row],[Month]]&amp;Main[[#This Row],[Year]])</f>
        <v>45017</v>
      </c>
      <c r="E368" s="1">
        <v>173.3</v>
      </c>
      <c r="F368" s="1">
        <v>206.9</v>
      </c>
      <c r="G368" s="1">
        <v>167.9</v>
      </c>
      <c r="H368" s="1">
        <v>178.2</v>
      </c>
      <c r="I368" s="1">
        <v>178.5</v>
      </c>
      <c r="J368" s="1">
        <v>173.7</v>
      </c>
      <c r="K368" s="1">
        <v>142.80000000000001</v>
      </c>
      <c r="L368" s="1">
        <v>172.8</v>
      </c>
      <c r="M368" s="1">
        <v>120.4</v>
      </c>
      <c r="N368" s="1">
        <v>215.5</v>
      </c>
      <c r="O368" s="1">
        <v>178.2</v>
      </c>
      <c r="P368" s="1">
        <v>190.5</v>
      </c>
      <c r="Q368" s="1">
        <v>175.5</v>
      </c>
      <c r="R368" s="1">
        <v>199.5</v>
      </c>
      <c r="S368" s="1">
        <v>190.7</v>
      </c>
      <c r="T368" s="1">
        <v>187.3</v>
      </c>
      <c r="U368" s="1">
        <v>190.2</v>
      </c>
      <c r="V368" s="1" t="s">
        <v>52</v>
      </c>
      <c r="W368" s="1">
        <v>181.5</v>
      </c>
      <c r="X368" s="1">
        <v>179.1</v>
      </c>
      <c r="Y368" s="1">
        <v>187.2</v>
      </c>
      <c r="Z368" s="1">
        <v>169.4</v>
      </c>
      <c r="AA368" s="1">
        <v>173.2</v>
      </c>
      <c r="AB368" s="1">
        <v>179.4</v>
      </c>
      <c r="AC368" s="1">
        <v>183.8</v>
      </c>
      <c r="AD368" s="1">
        <v>178.9</v>
      </c>
      <c r="AE368" s="1">
        <v>178.8</v>
      </c>
      <c r="AF368" s="6">
        <f t="shared" si="20"/>
        <v>174.93846153846152</v>
      </c>
      <c r="AG368" s="6">
        <f t="shared" si="21"/>
        <v>183.86666666666667</v>
      </c>
      <c r="AH368" s="6">
        <f t="shared" si="22"/>
        <v>189.4</v>
      </c>
      <c r="AI368" s="6">
        <f t="shared" si="23"/>
        <v>177.35</v>
      </c>
      <c r="AJ368" s="6">
        <f>IFERROR(AVERAGE(Main[[#This Row],[Health]],Main[[#This Row],[Personal care and effects]]),"NA")</f>
        <v>185.5</v>
      </c>
    </row>
    <row r="369" spans="1:36" ht="13.2" x14ac:dyDescent="0.25">
      <c r="A369" s="1" t="s">
        <v>39</v>
      </c>
      <c r="B369" s="1">
        <v>2023</v>
      </c>
      <c r="C369" s="1" t="s">
        <v>43</v>
      </c>
      <c r="D369" s="8">
        <f>DATEVALUE(Main[[#This Row],[Month]]&amp;Main[[#This Row],[Year]])</f>
        <v>45017</v>
      </c>
      <c r="E369" s="1">
        <v>174.8</v>
      </c>
      <c r="F369" s="1">
        <v>213.7</v>
      </c>
      <c r="G369" s="1">
        <v>172.4</v>
      </c>
      <c r="H369" s="1">
        <v>178.8</v>
      </c>
      <c r="I369" s="1">
        <v>168.7</v>
      </c>
      <c r="J369" s="1">
        <v>179.2</v>
      </c>
      <c r="K369" s="1">
        <v>179.9</v>
      </c>
      <c r="L369" s="1">
        <v>174.7</v>
      </c>
      <c r="M369" s="1">
        <v>123.1</v>
      </c>
      <c r="N369" s="1">
        <v>207.8</v>
      </c>
      <c r="O369" s="1">
        <v>165.5</v>
      </c>
      <c r="P369" s="1">
        <v>197</v>
      </c>
      <c r="Q369" s="1">
        <v>182.1</v>
      </c>
      <c r="R369" s="1">
        <v>203.5</v>
      </c>
      <c r="S369" s="1">
        <v>181</v>
      </c>
      <c r="T369" s="1">
        <v>167.7</v>
      </c>
      <c r="U369" s="1">
        <v>178.9</v>
      </c>
      <c r="V369" s="1">
        <v>175.2</v>
      </c>
      <c r="W369" s="1">
        <v>182.1</v>
      </c>
      <c r="X369" s="1">
        <v>169.6</v>
      </c>
      <c r="Y369" s="1">
        <v>181.5</v>
      </c>
      <c r="Z369" s="1">
        <v>160.1</v>
      </c>
      <c r="AA369" s="1">
        <v>168.8</v>
      </c>
      <c r="AB369" s="1">
        <v>174.2</v>
      </c>
      <c r="AC369" s="1">
        <v>184.4</v>
      </c>
      <c r="AD369" s="1">
        <v>170.9</v>
      </c>
      <c r="AE369" s="1">
        <v>177.4</v>
      </c>
      <c r="AF369" s="6">
        <f t="shared" si="20"/>
        <v>178.28461538461539</v>
      </c>
      <c r="AG369" s="6">
        <f t="shared" si="21"/>
        <v>181.06666666666669</v>
      </c>
      <c r="AH369" s="6">
        <f t="shared" si="22"/>
        <v>175.86666666666667</v>
      </c>
      <c r="AI369" s="6">
        <f t="shared" si="23"/>
        <v>172.24</v>
      </c>
      <c r="AJ369" s="6">
        <f>IFERROR(AVERAGE(Main[[#This Row],[Health]],Main[[#This Row],[Personal care and effects]]),"NA")</f>
        <v>182.95</v>
      </c>
    </row>
    <row r="370" spans="1:36" ht="13.2" x14ac:dyDescent="0.25">
      <c r="A370" s="1" t="s">
        <v>40</v>
      </c>
      <c r="B370" s="1">
        <v>2023</v>
      </c>
      <c r="C370" s="1" t="s">
        <v>43</v>
      </c>
      <c r="D370" s="8">
        <f>DATEVALUE(Main[[#This Row],[Month]]&amp;Main[[#This Row],[Year]])</f>
        <v>45017</v>
      </c>
      <c r="E370" s="1">
        <v>173.8</v>
      </c>
      <c r="F370" s="1">
        <v>209.3</v>
      </c>
      <c r="G370" s="1">
        <v>169.6</v>
      </c>
      <c r="H370" s="1">
        <v>178.4</v>
      </c>
      <c r="I370" s="1">
        <v>174.9</v>
      </c>
      <c r="J370" s="1">
        <v>176.3</v>
      </c>
      <c r="K370" s="1">
        <v>155.4</v>
      </c>
      <c r="L370" s="1">
        <v>173.4</v>
      </c>
      <c r="M370" s="1">
        <v>121.3</v>
      </c>
      <c r="N370" s="1">
        <v>212.9</v>
      </c>
      <c r="O370" s="1">
        <v>172.9</v>
      </c>
      <c r="P370" s="1">
        <v>193.5</v>
      </c>
      <c r="Q370" s="1">
        <v>177.9</v>
      </c>
      <c r="R370" s="1">
        <v>200.6</v>
      </c>
      <c r="S370" s="1">
        <v>186.9</v>
      </c>
      <c r="T370" s="1">
        <v>179.2</v>
      </c>
      <c r="U370" s="1">
        <v>185.7</v>
      </c>
      <c r="V370" s="1">
        <v>175.2</v>
      </c>
      <c r="W370" s="1">
        <v>181.7</v>
      </c>
      <c r="X370" s="1">
        <v>174.6</v>
      </c>
      <c r="Y370" s="1">
        <v>185</v>
      </c>
      <c r="Z370" s="1">
        <v>164.5</v>
      </c>
      <c r="AA370" s="1">
        <v>170.7</v>
      </c>
      <c r="AB370" s="1">
        <v>176.4</v>
      </c>
      <c r="AC370" s="1">
        <v>184</v>
      </c>
      <c r="AD370" s="1">
        <v>175</v>
      </c>
      <c r="AE370" s="1">
        <v>178.1</v>
      </c>
      <c r="AF370" s="6">
        <f t="shared" si="20"/>
        <v>176.12307692307695</v>
      </c>
      <c r="AG370" s="6">
        <f t="shared" si="21"/>
        <v>182.1</v>
      </c>
      <c r="AH370" s="6">
        <f t="shared" si="22"/>
        <v>183.93333333333331</v>
      </c>
      <c r="AI370" s="6">
        <f t="shared" si="23"/>
        <v>174.48</v>
      </c>
      <c r="AJ370" s="6">
        <f>IFERROR(AVERAGE(Main[[#This Row],[Health]],Main[[#This Row],[Personal care and effects]]),"NA")</f>
        <v>184.5</v>
      </c>
    </row>
    <row r="371" spans="1:36" ht="13.2" x14ac:dyDescent="0.25">
      <c r="A371" s="1" t="s">
        <v>36</v>
      </c>
      <c r="B371" s="1">
        <v>2023</v>
      </c>
      <c r="C371" s="1" t="s">
        <v>44</v>
      </c>
      <c r="D371" s="8">
        <f>DATEVALUE(Main[[#This Row],[Month]]&amp;Main[[#This Row],[Year]])</f>
        <v>45047</v>
      </c>
      <c r="E371" s="1">
        <v>173.2</v>
      </c>
      <c r="F371" s="1">
        <v>211.5</v>
      </c>
      <c r="G371" s="1">
        <v>171</v>
      </c>
      <c r="H371" s="1">
        <v>179.6</v>
      </c>
      <c r="I371" s="1">
        <v>173.3</v>
      </c>
      <c r="J371" s="1">
        <v>169</v>
      </c>
      <c r="K371" s="1">
        <v>148.69999999999999</v>
      </c>
      <c r="L371" s="1">
        <v>174.9</v>
      </c>
      <c r="M371" s="1">
        <v>121.9</v>
      </c>
      <c r="N371" s="1">
        <v>221</v>
      </c>
      <c r="O371" s="1">
        <v>178.7</v>
      </c>
      <c r="P371" s="1">
        <v>191.1</v>
      </c>
      <c r="Q371" s="1">
        <v>176.8</v>
      </c>
      <c r="R371" s="1">
        <v>199.9</v>
      </c>
      <c r="S371" s="1">
        <v>191.2</v>
      </c>
      <c r="T371" s="1">
        <v>187.9</v>
      </c>
      <c r="U371" s="1">
        <v>190.8</v>
      </c>
      <c r="V371" s="1" t="s">
        <v>52</v>
      </c>
      <c r="W371" s="1">
        <v>182.5</v>
      </c>
      <c r="X371" s="1">
        <v>179.8</v>
      </c>
      <c r="Y371" s="1">
        <v>187.8</v>
      </c>
      <c r="Z371" s="1">
        <v>169.7</v>
      </c>
      <c r="AA371" s="1">
        <v>173.8</v>
      </c>
      <c r="AB371" s="1">
        <v>180.3</v>
      </c>
      <c r="AC371" s="1">
        <v>184.9</v>
      </c>
      <c r="AD371" s="1">
        <v>179.5</v>
      </c>
      <c r="AE371" s="1">
        <v>179.8</v>
      </c>
      <c r="AF371" s="6">
        <f t="shared" si="20"/>
        <v>176.20769230769235</v>
      </c>
      <c r="AG371" s="6">
        <f t="shared" si="21"/>
        <v>184.4</v>
      </c>
      <c r="AH371" s="6">
        <f t="shared" si="22"/>
        <v>189.9666666666667</v>
      </c>
      <c r="AI371" s="6">
        <f t="shared" si="23"/>
        <v>178.07499999999999</v>
      </c>
      <c r="AJ371" s="6">
        <f>IFERROR(AVERAGE(Main[[#This Row],[Health]],Main[[#This Row],[Personal care and effects]]),"NA")</f>
        <v>186.35000000000002</v>
      </c>
    </row>
    <row r="372" spans="1:36" ht="13.2" x14ac:dyDescent="0.25">
      <c r="A372" s="1" t="s">
        <v>39</v>
      </c>
      <c r="B372" s="1">
        <v>2023</v>
      </c>
      <c r="C372" s="1" t="s">
        <v>44</v>
      </c>
      <c r="D372" s="8">
        <f>DATEVALUE(Main[[#This Row],[Month]]&amp;Main[[#This Row],[Year]])</f>
        <v>45047</v>
      </c>
      <c r="E372" s="1">
        <v>174.7</v>
      </c>
      <c r="F372" s="1">
        <v>219.4</v>
      </c>
      <c r="G372" s="1">
        <v>176.7</v>
      </c>
      <c r="H372" s="1">
        <v>179.4</v>
      </c>
      <c r="I372" s="1">
        <v>164.4</v>
      </c>
      <c r="J372" s="1">
        <v>175.8</v>
      </c>
      <c r="K372" s="1">
        <v>185</v>
      </c>
      <c r="L372" s="1">
        <v>176.9</v>
      </c>
      <c r="M372" s="1">
        <v>124.2</v>
      </c>
      <c r="N372" s="1">
        <v>211.9</v>
      </c>
      <c r="O372" s="1">
        <v>165.9</v>
      </c>
      <c r="P372" s="1">
        <v>197.7</v>
      </c>
      <c r="Q372" s="1">
        <v>183.1</v>
      </c>
      <c r="R372" s="1">
        <v>204.2</v>
      </c>
      <c r="S372" s="1">
        <v>181.3</v>
      </c>
      <c r="T372" s="1">
        <v>168.1</v>
      </c>
      <c r="U372" s="1">
        <v>179.3</v>
      </c>
      <c r="V372" s="1">
        <v>175.6</v>
      </c>
      <c r="W372" s="1">
        <v>183.4</v>
      </c>
      <c r="X372" s="1">
        <v>170.1</v>
      </c>
      <c r="Y372" s="1">
        <v>182.2</v>
      </c>
      <c r="Z372" s="1">
        <v>160.4</v>
      </c>
      <c r="AA372" s="1">
        <v>169.2</v>
      </c>
      <c r="AB372" s="1">
        <v>174.8</v>
      </c>
      <c r="AC372" s="1">
        <v>185.6</v>
      </c>
      <c r="AD372" s="1">
        <v>171.6</v>
      </c>
      <c r="AE372" s="1">
        <v>178.2</v>
      </c>
      <c r="AF372" s="6">
        <f t="shared" si="20"/>
        <v>179.62307692307692</v>
      </c>
      <c r="AG372" s="6">
        <f t="shared" si="21"/>
        <v>181.66666666666666</v>
      </c>
      <c r="AH372" s="6">
        <f t="shared" si="22"/>
        <v>176.23333333333335</v>
      </c>
      <c r="AI372" s="6">
        <f t="shared" si="23"/>
        <v>172.85999999999999</v>
      </c>
      <c r="AJ372" s="6">
        <f>IFERROR(AVERAGE(Main[[#This Row],[Health]],Main[[#This Row],[Personal care and effects]]),"NA")</f>
        <v>183.89999999999998</v>
      </c>
    </row>
    <row r="373" spans="1:36" ht="13.2" x14ac:dyDescent="0.25">
      <c r="A373" s="1" t="s">
        <v>40</v>
      </c>
      <c r="B373" s="1">
        <v>2023</v>
      </c>
      <c r="C373" s="1" t="s">
        <v>44</v>
      </c>
      <c r="D373" s="8">
        <f>DATEVALUE(Main[[#This Row],[Month]]&amp;Main[[#This Row],[Year]])</f>
        <v>45047</v>
      </c>
      <c r="E373" s="1">
        <v>173.7</v>
      </c>
      <c r="F373" s="1">
        <v>214.3</v>
      </c>
      <c r="G373" s="1">
        <v>173.2</v>
      </c>
      <c r="H373" s="1">
        <v>179.5</v>
      </c>
      <c r="I373" s="1">
        <v>170</v>
      </c>
      <c r="J373" s="1">
        <v>172.2</v>
      </c>
      <c r="K373" s="1">
        <v>161</v>
      </c>
      <c r="L373" s="1">
        <v>175.6</v>
      </c>
      <c r="M373" s="1">
        <v>122.7</v>
      </c>
      <c r="N373" s="1">
        <v>218</v>
      </c>
      <c r="O373" s="1">
        <v>173.4</v>
      </c>
      <c r="P373" s="1">
        <v>194.2</v>
      </c>
      <c r="Q373" s="1">
        <v>179.1</v>
      </c>
      <c r="R373" s="1">
        <v>201</v>
      </c>
      <c r="S373" s="1">
        <v>187.3</v>
      </c>
      <c r="T373" s="1">
        <v>179.7</v>
      </c>
      <c r="U373" s="1">
        <v>186.2</v>
      </c>
      <c r="V373" s="1">
        <v>175.6</v>
      </c>
      <c r="W373" s="1">
        <v>182.8</v>
      </c>
      <c r="X373" s="1">
        <v>175.2</v>
      </c>
      <c r="Y373" s="1">
        <v>185.7</v>
      </c>
      <c r="Z373" s="1">
        <v>164.8</v>
      </c>
      <c r="AA373" s="1">
        <v>171.2</v>
      </c>
      <c r="AB373" s="1">
        <v>177.1</v>
      </c>
      <c r="AC373" s="1">
        <v>185.2</v>
      </c>
      <c r="AD373" s="1">
        <v>175.7</v>
      </c>
      <c r="AE373" s="1">
        <v>179.1</v>
      </c>
      <c r="AF373" s="6">
        <f t="shared" si="20"/>
        <v>177.45384615384617</v>
      </c>
      <c r="AG373" s="6">
        <f t="shared" si="21"/>
        <v>182.63333333333333</v>
      </c>
      <c r="AH373" s="6">
        <f t="shared" si="22"/>
        <v>184.4</v>
      </c>
      <c r="AI373" s="6">
        <f t="shared" si="23"/>
        <v>175.09999999999997</v>
      </c>
      <c r="AJ373" s="6">
        <f>IFERROR(AVERAGE(Main[[#This Row],[Health]],Main[[#This Row],[Personal care and effects]]),"NA")</f>
        <v>185.45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8472-5109-468E-BC46-8365288F13AD}">
  <dimension ref="A1"/>
  <sheetViews>
    <sheetView tabSelected="1" workbookViewId="0">
      <selection activeCell="M2" sqref="M2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1B68-701A-4DC0-8F06-A1FD13E06AB6}">
  <dimension ref="B50:B52"/>
  <sheetViews>
    <sheetView workbookViewId="0">
      <selection activeCell="B8" sqref="B8"/>
    </sheetView>
  </sheetViews>
  <sheetFormatPr defaultRowHeight="13.2" x14ac:dyDescent="0.25"/>
  <sheetData>
    <row r="50" spans="2:2" x14ac:dyDescent="0.25">
      <c r="B50" s="2">
        <v>0.66670937586094481</v>
      </c>
    </row>
    <row r="51" spans="2:2" x14ac:dyDescent="0.25">
      <c r="B51" s="2">
        <v>1.3325339119587536</v>
      </c>
    </row>
    <row r="52" spans="2:2" x14ac:dyDescent="0.25">
      <c r="B52" s="2">
        <v>0.93343058278904789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D9CB-F750-4B2C-AEA1-21D7436F22FA}">
  <dimension ref="A1"/>
  <sheetViews>
    <sheetView showGridLines="0" workbookViewId="0">
      <selection activeCell="U12" sqref="U12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29CA-36E7-4A44-A788-5994AD4FA029}">
  <dimension ref="A1:AP16"/>
  <sheetViews>
    <sheetView workbookViewId="0">
      <selection activeCell="AF10" sqref="AF10"/>
    </sheetView>
  </sheetViews>
  <sheetFormatPr defaultRowHeight="13.2" x14ac:dyDescent="0.25"/>
  <cols>
    <col min="2" max="2" width="20.5546875" customWidth="1"/>
    <col min="3" max="3" width="16.33203125" customWidth="1"/>
    <col min="4" max="4" width="18.5546875" hidden="1" customWidth="1"/>
    <col min="5" max="11" width="18" hidden="1" customWidth="1"/>
    <col min="12" max="12" width="21.6640625" hidden="1" customWidth="1"/>
    <col min="13" max="13" width="18" hidden="1" customWidth="1"/>
    <col min="14" max="14" width="21.109375" hidden="1" customWidth="1"/>
    <col min="15" max="15" width="31.33203125" hidden="1" customWidth="1"/>
    <col min="16" max="16" width="18" hidden="1" customWidth="1"/>
    <col min="17" max="17" width="24.6640625" hidden="1" customWidth="1"/>
    <col min="18" max="20" width="18.6640625" hidden="1" customWidth="1"/>
    <col min="21" max="21" width="9.109375" hidden="1" customWidth="1"/>
    <col min="22" max="22" width="11.6640625" hidden="1" customWidth="1"/>
    <col min="23" max="23" width="26.109375" hidden="1" customWidth="1"/>
    <col min="24" max="24" width="9.109375" hidden="1" customWidth="1"/>
    <col min="25" max="25" width="25.44140625" hidden="1" customWidth="1"/>
    <col min="26" max="26" width="23.44140625" hidden="1" customWidth="1"/>
    <col min="27" max="27" width="9.109375" hidden="1" customWidth="1"/>
    <col min="28" max="28" width="22.33203125" hidden="1" customWidth="1"/>
    <col min="29" max="29" width="12.33203125" hidden="1" customWidth="1"/>
    <col min="30" max="30" width="12.109375" hidden="1" customWidth="1"/>
    <col min="31" max="31" width="14.33203125" bestFit="1" customWidth="1"/>
    <col min="32" max="32" width="12.33203125" bestFit="1" customWidth="1"/>
    <col min="33" max="33" width="18.6640625" bestFit="1" customWidth="1"/>
    <col min="34" max="34" width="12" bestFit="1" customWidth="1"/>
    <col min="35" max="35" width="14.33203125" hidden="1" customWidth="1"/>
    <col min="36" max="38" width="0" hidden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53</v>
      </c>
      <c r="E1" s="1" t="s">
        <v>53</v>
      </c>
      <c r="F1" s="1" t="s">
        <v>53</v>
      </c>
      <c r="G1" s="1" t="s">
        <v>53</v>
      </c>
      <c r="H1" s="1" t="s">
        <v>53</v>
      </c>
      <c r="I1" s="1" t="s">
        <v>53</v>
      </c>
      <c r="J1" s="1" t="s">
        <v>53</v>
      </c>
      <c r="K1" s="1" t="s">
        <v>53</v>
      </c>
      <c r="L1" s="1" t="s">
        <v>53</v>
      </c>
      <c r="M1" s="1" t="s">
        <v>53</v>
      </c>
      <c r="N1" s="1" t="s">
        <v>53</v>
      </c>
      <c r="O1" s="1" t="s">
        <v>53</v>
      </c>
      <c r="P1" s="1" t="s">
        <v>53</v>
      </c>
      <c r="Q1" s="1" t="s">
        <v>29</v>
      </c>
      <c r="R1" t="s">
        <v>20</v>
      </c>
      <c r="S1" t="s">
        <v>20</v>
      </c>
      <c r="T1" t="s">
        <v>20</v>
      </c>
      <c r="U1" t="s">
        <v>34</v>
      </c>
      <c r="V1" t="s">
        <v>34</v>
      </c>
      <c r="W1" t="s">
        <v>34</v>
      </c>
      <c r="X1" t="s">
        <v>34</v>
      </c>
      <c r="Y1" t="s">
        <v>34</v>
      </c>
      <c r="Z1" s="1" t="s">
        <v>29</v>
      </c>
      <c r="AA1" t="s">
        <v>34</v>
      </c>
      <c r="AB1" t="s">
        <v>34</v>
      </c>
      <c r="AC1" s="1">
        <v>0</v>
      </c>
      <c r="AE1" t="s">
        <v>54</v>
      </c>
      <c r="AI1" t="s">
        <v>55</v>
      </c>
      <c r="AM1" t="s">
        <v>56</v>
      </c>
    </row>
    <row r="2" spans="1:42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t="s">
        <v>31</v>
      </c>
      <c r="AF2" t="s">
        <v>29</v>
      </c>
      <c r="AG2" t="s">
        <v>20</v>
      </c>
      <c r="AH2" t="s">
        <v>34</v>
      </c>
      <c r="AI2" t="s">
        <v>31</v>
      </c>
      <c r="AJ2" t="s">
        <v>29</v>
      </c>
      <c r="AK2" t="s">
        <v>20</v>
      </c>
      <c r="AL2" t="s">
        <v>34</v>
      </c>
      <c r="AM2" t="s">
        <v>31</v>
      </c>
      <c r="AN2" t="s">
        <v>29</v>
      </c>
      <c r="AO2" t="s">
        <v>20</v>
      </c>
      <c r="AP2" t="s">
        <v>34</v>
      </c>
    </row>
    <row r="3" spans="1:42" x14ac:dyDescent="0.25">
      <c r="A3" s="1" t="s">
        <v>36</v>
      </c>
      <c r="B3" s="1">
        <v>2023</v>
      </c>
      <c r="C3" s="1" t="s">
        <v>44</v>
      </c>
      <c r="D3" s="1">
        <v>173.2</v>
      </c>
      <c r="E3" s="1">
        <v>211.5</v>
      </c>
      <c r="F3" s="1">
        <v>171</v>
      </c>
      <c r="G3" s="1">
        <v>179.6</v>
      </c>
      <c r="H3" s="1">
        <v>173.3</v>
      </c>
      <c r="I3" s="1">
        <v>169</v>
      </c>
      <c r="J3" s="1">
        <v>148.69999999999999</v>
      </c>
      <c r="K3" s="1">
        <v>174.9</v>
      </c>
      <c r="L3" s="1">
        <v>121.9</v>
      </c>
      <c r="M3" s="1">
        <v>221</v>
      </c>
      <c r="N3" s="1">
        <v>178.7</v>
      </c>
      <c r="O3" s="1">
        <v>191.1</v>
      </c>
      <c r="P3" s="1">
        <v>176.8</v>
      </c>
      <c r="Q3" s="1">
        <v>199.9</v>
      </c>
      <c r="R3" s="1">
        <v>191.2</v>
      </c>
      <c r="S3" s="1">
        <v>187.9</v>
      </c>
      <c r="T3" s="1">
        <v>190.8</v>
      </c>
      <c r="U3" s="1">
        <v>175.6</v>
      </c>
      <c r="V3" s="1">
        <v>182.5</v>
      </c>
      <c r="W3" s="1">
        <v>179.8</v>
      </c>
      <c r="X3" s="1">
        <v>187.8</v>
      </c>
      <c r="Y3" s="1">
        <v>169.7</v>
      </c>
      <c r="Z3" s="1">
        <v>173.8</v>
      </c>
      <c r="AA3" s="1">
        <v>180.3</v>
      </c>
      <c r="AB3" s="1">
        <v>184.9</v>
      </c>
      <c r="AC3" s="1">
        <v>179.5</v>
      </c>
      <c r="AD3" s="1">
        <v>179.8</v>
      </c>
      <c r="AE3">
        <f>AVERAGE(D3:P3)</f>
        <v>176.20769230769235</v>
      </c>
      <c r="AF3">
        <f>AVERAGE(Q3,Z3,AC3)</f>
        <v>184.4</v>
      </c>
      <c r="AG3">
        <f>AVERAGE(R3:T3)</f>
        <v>189.9666666666667</v>
      </c>
      <c r="AH3">
        <f>AVERAGE(U3,V3,W3,X3,Y3,AA3,AB3)</f>
        <v>180.08571428571432</v>
      </c>
      <c r="AI3">
        <f>SUM(D3:P3)/1300*100</f>
        <v>176.20769230769235</v>
      </c>
      <c r="AJ3">
        <f>(SUM(Q3,Z3,AC3)/COUNT(Q3,Z3,AC3))</f>
        <v>184.4</v>
      </c>
      <c r="AK3">
        <f>SUM(R3:T3)/COUNT(R3:T3)</f>
        <v>189.9666666666667</v>
      </c>
      <c r="AL3">
        <f>SUM(U3,V3,W3,X3,Y3,AA3,AB3)/COUNT(U3,V3,W3,X3,Y3,AA3,AB3)</f>
        <v>180.08571428571432</v>
      </c>
      <c r="AM3" s="2">
        <f>AE3/SUM($AE3:$AH3)</f>
        <v>0.2411623390361067</v>
      </c>
      <c r="AN3" s="2">
        <f t="shared" ref="AN3:AN5" si="0">AF3/SUM($AE3:$AH3)</f>
        <v>0.25237454015687555</v>
      </c>
      <c r="AO3" s="2">
        <f>AG3/SUM($AE3:$AH3)</f>
        <v>0.25999322204519776</v>
      </c>
      <c r="AP3" s="2">
        <f t="shared" ref="AP3:AP5" si="1">AH3/SUM($AE3:$AH3)</f>
        <v>0.24646989876182007</v>
      </c>
    </row>
    <row r="4" spans="1:42" x14ac:dyDescent="0.25">
      <c r="A4" s="1" t="s">
        <v>39</v>
      </c>
      <c r="B4" s="1">
        <v>2023</v>
      </c>
      <c r="C4" s="1" t="s">
        <v>44</v>
      </c>
      <c r="D4" s="1">
        <v>174.7</v>
      </c>
      <c r="E4" s="1">
        <v>219.4</v>
      </c>
      <c r="F4" s="1">
        <v>176.7</v>
      </c>
      <c r="G4" s="1">
        <v>179.4</v>
      </c>
      <c r="H4" s="1">
        <v>164.4</v>
      </c>
      <c r="I4" s="1">
        <v>175.8</v>
      </c>
      <c r="J4" s="1">
        <v>185</v>
      </c>
      <c r="K4" s="1">
        <v>176.9</v>
      </c>
      <c r="L4" s="1">
        <v>124.2</v>
      </c>
      <c r="M4" s="1">
        <v>211.9</v>
      </c>
      <c r="N4" s="1">
        <v>165.9</v>
      </c>
      <c r="O4" s="1">
        <v>197.7</v>
      </c>
      <c r="P4" s="1">
        <v>183.1</v>
      </c>
      <c r="Q4" s="1">
        <v>204.2</v>
      </c>
      <c r="R4" s="1">
        <v>181.3</v>
      </c>
      <c r="S4" s="1">
        <v>168.1</v>
      </c>
      <c r="T4" s="1">
        <v>179.3</v>
      </c>
      <c r="U4" s="1">
        <v>175.6</v>
      </c>
      <c r="V4" s="1">
        <v>183.4</v>
      </c>
      <c r="W4" s="1">
        <v>170.1</v>
      </c>
      <c r="X4" s="1">
        <v>182.2</v>
      </c>
      <c r="Y4" s="1">
        <v>160.4</v>
      </c>
      <c r="Z4" s="1">
        <v>169.2</v>
      </c>
      <c r="AA4" s="1">
        <v>174.8</v>
      </c>
      <c r="AB4" s="1">
        <v>185.6</v>
      </c>
      <c r="AC4" s="1">
        <v>171.6</v>
      </c>
      <c r="AD4" s="1">
        <v>178.2</v>
      </c>
      <c r="AE4">
        <f t="shared" ref="AE4:AE5" si="2">AVERAGE(D4:P4)</f>
        <v>179.62307692307692</v>
      </c>
      <c r="AF4">
        <f t="shared" ref="AF4:AF5" si="3">AVERAGE(Q4,Z4,AC4)</f>
        <v>181.66666666666666</v>
      </c>
      <c r="AG4">
        <f t="shared" ref="AG4:AG5" si="4">AVERAGE(R4:T4)</f>
        <v>176.23333333333335</v>
      </c>
      <c r="AH4">
        <f t="shared" ref="AH4:AH5" si="5">AVERAGE(U4,V4,W4,X4,Y4,AA4,AB4)</f>
        <v>176.01428571428571</v>
      </c>
      <c r="AI4">
        <f t="shared" ref="AI4:AI5" si="6">SUM(D4:P4)/1300*100</f>
        <v>179.62307692307689</v>
      </c>
      <c r="AJ4">
        <f t="shared" ref="AJ4:AJ5" si="7">(SUM(Q4,Z4,AC4)/COUNT(Q4,Z4,AC4))</f>
        <v>181.66666666666666</v>
      </c>
      <c r="AK4">
        <f t="shared" ref="AK4:AK5" si="8">SUM(R4:T4)/COUNT(R4:T4)</f>
        <v>176.23333333333335</v>
      </c>
      <c r="AL4">
        <f t="shared" ref="AL4:AL5" si="9">SUM(U4,V4,W4,X4,Y4,AA4,AB4)/COUNT(U4,V4,W4,X4,Y4,AA4,AB4)</f>
        <v>176.01428571428571</v>
      </c>
      <c r="AM4" s="2">
        <f t="shared" ref="AM4:AM5" si="10">AE4/SUM($AE4:$AH4)</f>
        <v>0.25173604961505824</v>
      </c>
      <c r="AN4" s="2">
        <f t="shared" si="0"/>
        <v>0.25460007587436478</v>
      </c>
      <c r="AO4" s="2">
        <f t="shared" ref="AO4:AO5" si="11">AG4/SUM($AE4:$AH4)</f>
        <v>0.24698543140325993</v>
      </c>
      <c r="AP4" s="2">
        <f t="shared" si="1"/>
        <v>0.24667844310731704</v>
      </c>
    </row>
    <row r="5" spans="1:42" x14ac:dyDescent="0.25">
      <c r="A5" s="1" t="s">
        <v>40</v>
      </c>
      <c r="B5" s="1">
        <v>2023</v>
      </c>
      <c r="C5" s="1" t="s">
        <v>44</v>
      </c>
      <c r="D5" s="1">
        <v>173.7</v>
      </c>
      <c r="E5" s="1">
        <v>214.3</v>
      </c>
      <c r="F5" s="1">
        <v>173.2</v>
      </c>
      <c r="G5" s="1">
        <v>179.5</v>
      </c>
      <c r="H5" s="1">
        <v>170</v>
      </c>
      <c r="I5" s="1">
        <v>172.2</v>
      </c>
      <c r="J5" s="1">
        <v>161</v>
      </c>
      <c r="K5" s="1">
        <v>175.6</v>
      </c>
      <c r="L5" s="1">
        <v>122.7</v>
      </c>
      <c r="M5" s="1">
        <v>218</v>
      </c>
      <c r="N5" s="1">
        <v>173.4</v>
      </c>
      <c r="O5" s="1">
        <v>194.2</v>
      </c>
      <c r="P5" s="1">
        <v>179.1</v>
      </c>
      <c r="Q5" s="1">
        <v>201</v>
      </c>
      <c r="R5" s="1">
        <v>187.3</v>
      </c>
      <c r="S5" s="1">
        <v>179.7</v>
      </c>
      <c r="T5" s="1">
        <v>186.2</v>
      </c>
      <c r="U5" s="1">
        <v>175.6</v>
      </c>
      <c r="V5" s="1">
        <v>182.8</v>
      </c>
      <c r="W5" s="1">
        <v>175.2</v>
      </c>
      <c r="X5" s="1">
        <v>185.7</v>
      </c>
      <c r="Y5" s="1">
        <v>164.8</v>
      </c>
      <c r="Z5" s="1">
        <v>171.2</v>
      </c>
      <c r="AA5" s="1">
        <v>177.1</v>
      </c>
      <c r="AB5" s="1">
        <v>185.2</v>
      </c>
      <c r="AC5" s="1">
        <v>175.7</v>
      </c>
      <c r="AD5" s="1">
        <v>179.1</v>
      </c>
      <c r="AE5">
        <f t="shared" si="2"/>
        <v>177.45384615384617</v>
      </c>
      <c r="AF5">
        <f t="shared" si="3"/>
        <v>182.63333333333333</v>
      </c>
      <c r="AG5">
        <f t="shared" si="4"/>
        <v>184.4</v>
      </c>
      <c r="AH5">
        <f t="shared" si="5"/>
        <v>178.05714285714285</v>
      </c>
      <c r="AI5">
        <f t="shared" si="6"/>
        <v>177.45384615384617</v>
      </c>
      <c r="AJ5">
        <f t="shared" si="7"/>
        <v>182.63333333333333</v>
      </c>
      <c r="AK5">
        <f t="shared" si="8"/>
        <v>184.4</v>
      </c>
      <c r="AL5">
        <f t="shared" si="9"/>
        <v>178.05714285714285</v>
      </c>
      <c r="AM5" s="2">
        <f t="shared" si="10"/>
        <v>0.24559579345678129</v>
      </c>
      <c r="AN5" s="2">
        <f t="shared" si="0"/>
        <v>0.25276419409230511</v>
      </c>
      <c r="AO5" s="2">
        <f t="shared" si="11"/>
        <v>0.2552092574773922</v>
      </c>
      <c r="AP5" s="2">
        <f t="shared" si="1"/>
        <v>0.24643075497352154</v>
      </c>
    </row>
    <row r="6" spans="1:42" x14ac:dyDescent="0.25">
      <c r="AM6" s="2"/>
      <c r="AN6" s="2"/>
      <c r="AO6" s="2"/>
      <c r="AP6" s="2"/>
    </row>
    <row r="8" spans="1:42" x14ac:dyDescent="0.25">
      <c r="B8" t="s">
        <v>57</v>
      </c>
      <c r="C8" s="1" t="s">
        <v>58</v>
      </c>
    </row>
    <row r="9" spans="1:42" x14ac:dyDescent="0.25">
      <c r="A9" s="1" t="s">
        <v>36</v>
      </c>
      <c r="B9" s="2">
        <v>0.25999322204519776</v>
      </c>
      <c r="C9" s="1" t="s">
        <v>59</v>
      </c>
    </row>
    <row r="10" spans="1:42" x14ac:dyDescent="0.25">
      <c r="A10" s="1" t="s">
        <v>39</v>
      </c>
      <c r="B10" s="2">
        <v>0.25460007587436478</v>
      </c>
      <c r="C10" s="1" t="s">
        <v>29</v>
      </c>
    </row>
    <row r="11" spans="1:42" x14ac:dyDescent="0.25">
      <c r="A11" s="1" t="s">
        <v>40</v>
      </c>
      <c r="B11" s="2">
        <v>0.2552092574773922</v>
      </c>
      <c r="C11" s="1" t="s">
        <v>59</v>
      </c>
    </row>
    <row r="14" spans="1:42" x14ac:dyDescent="0.25">
      <c r="D14" s="1"/>
    </row>
    <row r="15" spans="1:42" x14ac:dyDescent="0.25">
      <c r="A15" t="s">
        <v>60</v>
      </c>
      <c r="B15" s="2">
        <v>0.2552092574773922</v>
      </c>
      <c r="C15" s="1" t="s">
        <v>59</v>
      </c>
      <c r="D15" s="1"/>
    </row>
    <row r="16" spans="1:42" x14ac:dyDescent="0.25">
      <c r="D16" s="1"/>
    </row>
  </sheetData>
  <conditionalFormatting sqref="AE3:A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H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H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AE3:AE5 AG3:AG5 AI3:AI5 AK3:AK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035E-55A5-4260-BD34-17E2805DB740}">
  <dimension ref="A1:BO132"/>
  <sheetViews>
    <sheetView workbookViewId="0">
      <selection activeCell="H13" sqref="H13"/>
    </sheetView>
  </sheetViews>
  <sheetFormatPr defaultColWidth="9.109375" defaultRowHeight="12.75" customHeight="1" x14ac:dyDescent="0.25"/>
  <cols>
    <col min="1" max="1" width="13.88671875" bestFit="1" customWidth="1"/>
    <col min="2" max="2" width="14.109375" bestFit="1" customWidth="1"/>
    <col min="3" max="3" width="19.44140625" bestFit="1" customWidth="1"/>
    <col min="4" max="4" width="6.109375" customWidth="1"/>
    <col min="5" max="5" width="7" bestFit="1" customWidth="1"/>
    <col min="6" max="7" width="6.6640625" customWidth="1"/>
    <col min="8" max="9" width="11.33203125" customWidth="1"/>
    <col min="10" max="10" width="11.44140625" hidden="1" customWidth="1"/>
    <col min="11" max="11" width="7.33203125" hidden="1" customWidth="1"/>
    <col min="12" max="12" width="10" hidden="1" customWidth="1"/>
    <col min="13" max="13" width="14.6640625" hidden="1" customWidth="1"/>
    <col min="14" max="14" width="7.33203125" customWidth="1"/>
    <col min="15" max="15" width="37" customWidth="1"/>
    <col min="16" max="16" width="14.109375" customWidth="1"/>
    <col min="17" max="17" width="7.6640625" customWidth="1"/>
    <col min="18" max="18" width="7.6640625" bestFit="1" customWidth="1"/>
    <col min="19" max="21" width="7.109375" bestFit="1" customWidth="1"/>
    <col min="22" max="22" width="7.109375" customWidth="1"/>
    <col min="23" max="23" width="7.6640625" bestFit="1" customWidth="1"/>
    <col min="24" max="24" width="24.88671875" bestFit="1" customWidth="1"/>
    <col min="25" max="25" width="37" customWidth="1"/>
    <col min="26" max="26" width="14.109375" customWidth="1"/>
    <col min="27" max="27" width="8.88671875" customWidth="1"/>
    <col min="28" max="32" width="6.6640625" customWidth="1"/>
    <col min="33" max="33" width="7.33203125" customWidth="1"/>
    <col min="34" max="34" width="10.44140625" bestFit="1" customWidth="1"/>
    <col min="35" max="35" width="8" customWidth="1"/>
    <col min="36" max="36" width="10" bestFit="1" customWidth="1"/>
    <col min="37" max="37" width="9.88671875" bestFit="1" customWidth="1"/>
    <col min="38" max="38" width="8" customWidth="1"/>
    <col min="39" max="39" width="8.88671875" bestFit="1" customWidth="1"/>
    <col min="40" max="40" width="6.6640625" bestFit="1" customWidth="1"/>
    <col min="41" max="42" width="7" bestFit="1" customWidth="1"/>
    <col min="43" max="43" width="5.109375" bestFit="1" customWidth="1"/>
    <col min="44" max="44" width="6.109375" bestFit="1" customWidth="1"/>
    <col min="45" max="45" width="7.33203125" bestFit="1" customWidth="1"/>
    <col min="46" max="46" width="10.44140625" bestFit="1" customWidth="1"/>
    <col min="47" max="47" width="8" bestFit="1" customWidth="1"/>
    <col min="48" max="48" width="10" bestFit="1" customWidth="1"/>
    <col min="49" max="49" width="9.88671875" bestFit="1" customWidth="1"/>
    <col min="50" max="50" width="10" bestFit="1" customWidth="1"/>
    <col min="51" max="51" width="8" bestFit="1" customWidth="1"/>
    <col min="52" max="52" width="8.88671875" bestFit="1" customWidth="1"/>
    <col min="53" max="54" width="6.6640625" bestFit="1" customWidth="1"/>
    <col min="55" max="55" width="6.109375" bestFit="1" customWidth="1"/>
    <col min="56" max="57" width="6.6640625" bestFit="1" customWidth="1"/>
    <col min="58" max="58" width="7.33203125" bestFit="1" customWidth="1"/>
    <col min="59" max="59" width="10.44140625" bestFit="1" customWidth="1"/>
    <col min="60" max="60" width="8" bestFit="1" customWidth="1"/>
    <col min="61" max="61" width="10" bestFit="1" customWidth="1"/>
    <col min="62" max="62" width="9.88671875" bestFit="1" customWidth="1"/>
    <col min="63" max="63" width="10" bestFit="1" customWidth="1"/>
    <col min="64" max="64" width="8" bestFit="1" customWidth="1"/>
    <col min="65" max="65" width="10" bestFit="1" customWidth="1"/>
    <col min="66" max="66" width="9.88671875" bestFit="1" customWidth="1"/>
    <col min="67" max="67" width="10" bestFit="1" customWidth="1"/>
    <col min="68" max="68" width="8" bestFit="1" customWidth="1"/>
    <col min="69" max="69" width="8.88671875" bestFit="1" customWidth="1"/>
    <col min="70" max="72" width="6.6640625" bestFit="1" customWidth="1"/>
    <col min="73" max="73" width="10" bestFit="1" customWidth="1"/>
    <col min="74" max="74" width="10.44140625" bestFit="1" customWidth="1"/>
    <col min="75" max="75" width="8" bestFit="1" customWidth="1"/>
    <col min="76" max="76" width="10" bestFit="1" customWidth="1"/>
    <col min="77" max="77" width="9.88671875" bestFit="1" customWidth="1"/>
    <col min="78" max="78" width="10" bestFit="1" customWidth="1"/>
    <col min="79" max="79" width="8" bestFit="1" customWidth="1"/>
    <col min="80" max="80" width="8.88671875" bestFit="1" customWidth="1"/>
    <col min="81" max="83" width="6.6640625" bestFit="1" customWidth="1"/>
    <col min="84" max="84" width="10" bestFit="1" customWidth="1"/>
    <col min="85" max="85" width="7.33203125" bestFit="1" customWidth="1"/>
    <col min="86" max="86" width="10.44140625" bestFit="1" customWidth="1"/>
    <col min="87" max="87" width="8" bestFit="1" customWidth="1"/>
    <col min="88" max="88" width="10" bestFit="1" customWidth="1"/>
    <col min="89" max="89" width="9.88671875" bestFit="1" customWidth="1"/>
    <col min="90" max="90" width="10" bestFit="1" customWidth="1"/>
    <col min="91" max="91" width="8" bestFit="1" customWidth="1"/>
    <col min="92" max="92" width="8.88671875" bestFit="1" customWidth="1"/>
    <col min="93" max="95" width="6.6640625" bestFit="1" customWidth="1"/>
    <col min="96" max="96" width="10" bestFit="1" customWidth="1"/>
    <col min="97" max="97" width="7.33203125" bestFit="1" customWidth="1"/>
    <col min="98" max="98" width="10.44140625" bestFit="1" customWidth="1"/>
    <col min="99" max="99" width="8" bestFit="1" customWidth="1"/>
    <col min="100" max="100" width="10" bestFit="1" customWidth="1"/>
    <col min="101" max="101" width="9.88671875" bestFit="1" customWidth="1"/>
    <col min="102" max="102" width="10" bestFit="1" customWidth="1"/>
    <col min="103" max="103" width="8" bestFit="1" customWidth="1"/>
    <col min="104" max="104" width="8.88671875" bestFit="1" customWidth="1"/>
    <col min="105" max="107" width="6.6640625" bestFit="1" customWidth="1"/>
    <col min="108" max="108" width="10" bestFit="1" customWidth="1"/>
    <col min="109" max="117" width="6" bestFit="1" customWidth="1"/>
    <col min="118" max="118" width="3.5546875" bestFit="1" customWidth="1"/>
    <col min="119" max="119" width="11.33203125" bestFit="1" customWidth="1"/>
  </cols>
  <sheetData>
    <row r="1" spans="1:53" ht="13.2" x14ac:dyDescent="0.25">
      <c r="A1" s="3" t="s">
        <v>0</v>
      </c>
      <c r="B1" t="s">
        <v>40</v>
      </c>
      <c r="J1" s="1" t="s">
        <v>0</v>
      </c>
      <c r="K1" s="1" t="s">
        <v>1</v>
      </c>
      <c r="L1" s="1" t="s">
        <v>2</v>
      </c>
      <c r="M1" s="1" t="s">
        <v>30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53" ht="13.2" x14ac:dyDescent="0.25">
      <c r="J2" s="1" t="s">
        <v>40</v>
      </c>
      <c r="K2" s="1">
        <v>2017</v>
      </c>
      <c r="L2" s="1" t="s">
        <v>37</v>
      </c>
      <c r="M2" s="1">
        <v>130.30000000000001</v>
      </c>
      <c r="O2" s="3" t="s">
        <v>0</v>
      </c>
      <c r="P2" t="s">
        <v>40</v>
      </c>
      <c r="R2" s="1"/>
      <c r="S2" s="1"/>
      <c r="T2" s="1"/>
      <c r="U2" s="7"/>
      <c r="V2" s="7"/>
      <c r="W2" s="7"/>
      <c r="X2" s="1"/>
      <c r="Y2" s="3" t="s">
        <v>0</v>
      </c>
      <c r="Z2" t="s">
        <v>40</v>
      </c>
      <c r="AB2" s="1"/>
      <c r="AC2" s="1"/>
      <c r="AD2" s="1"/>
      <c r="AE2" s="7"/>
      <c r="AF2" s="7"/>
      <c r="AG2" s="1"/>
      <c r="AH2" s="1"/>
      <c r="AI2" s="1"/>
      <c r="AJ2" s="1"/>
      <c r="AK2" s="1"/>
      <c r="AL2" s="1"/>
      <c r="AM2" s="1"/>
      <c r="AN2" s="1"/>
      <c r="AO2" s="3" t="s">
        <v>0</v>
      </c>
      <c r="AP2" t="s">
        <v>40</v>
      </c>
      <c r="AR2" s="1"/>
      <c r="AS2" s="1"/>
      <c r="AT2" s="1"/>
      <c r="AU2" s="7"/>
      <c r="AV2" s="7"/>
      <c r="AW2" s="1"/>
      <c r="AX2" s="1"/>
      <c r="AY2" s="1"/>
      <c r="AZ2" s="1"/>
      <c r="BA2" s="1"/>
    </row>
    <row r="3" spans="1:53" ht="13.2" x14ac:dyDescent="0.25">
      <c r="A3" s="3" t="s">
        <v>61</v>
      </c>
      <c r="B3" t="s">
        <v>62</v>
      </c>
      <c r="C3" t="s">
        <v>63</v>
      </c>
      <c r="J3" s="1" t="s">
        <v>40</v>
      </c>
      <c r="K3" s="1">
        <v>2017</v>
      </c>
      <c r="L3" s="1" t="s">
        <v>41</v>
      </c>
      <c r="M3" s="1">
        <v>130.6</v>
      </c>
      <c r="R3" s="1"/>
      <c r="S3" s="1"/>
      <c r="T3" s="1"/>
      <c r="U3" s="1"/>
      <c r="V3" s="1"/>
      <c r="W3" s="7"/>
      <c r="X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3.2" x14ac:dyDescent="0.25">
      <c r="A4" s="4">
        <v>2016</v>
      </c>
      <c r="B4">
        <v>129.19999999999999</v>
      </c>
      <c r="C4" s="2"/>
      <c r="F4">
        <f>SUMIFS(Table1[General index],Table1[Year],A4)</f>
        <v>0</v>
      </c>
      <c r="J4" s="1" t="s">
        <v>40</v>
      </c>
      <c r="K4" s="1">
        <v>2017</v>
      </c>
      <c r="L4" s="1" t="s">
        <v>42</v>
      </c>
      <c r="M4" s="1">
        <v>130.9</v>
      </c>
      <c r="P4" s="3" t="s">
        <v>64</v>
      </c>
      <c r="Z4" s="3" t="s">
        <v>65</v>
      </c>
      <c r="AP4" s="3" t="s">
        <v>65</v>
      </c>
    </row>
    <row r="5" spans="1:53" ht="13.2" x14ac:dyDescent="0.25">
      <c r="A5" s="4">
        <v>2017</v>
      </c>
      <c r="B5">
        <v>133.49999999999997</v>
      </c>
      <c r="C5" s="2">
        <v>3.3281733746129902E-2</v>
      </c>
      <c r="F5">
        <f>SUMIFS(Table1[General index],Table1[Year],A5)</f>
        <v>1602</v>
      </c>
      <c r="G5" s="2"/>
      <c r="J5" s="1" t="s">
        <v>40</v>
      </c>
      <c r="K5" s="1">
        <v>2017</v>
      </c>
      <c r="L5" s="1" t="s">
        <v>43</v>
      </c>
      <c r="M5" s="1">
        <v>131.1</v>
      </c>
      <c r="O5" s="3" t="s">
        <v>66</v>
      </c>
      <c r="P5">
        <v>2016</v>
      </c>
      <c r="Q5">
        <v>2017</v>
      </c>
      <c r="R5">
        <v>2018</v>
      </c>
      <c r="S5">
        <v>2019</v>
      </c>
      <c r="T5">
        <v>2020</v>
      </c>
      <c r="U5">
        <v>2021</v>
      </c>
      <c r="V5">
        <v>2022</v>
      </c>
      <c r="W5">
        <v>2023</v>
      </c>
      <c r="Y5" s="3" t="s">
        <v>66</v>
      </c>
      <c r="Z5" s="2" t="s">
        <v>37</v>
      </c>
      <c r="AA5" s="2" t="s">
        <v>41</v>
      </c>
      <c r="AB5" s="2" t="s">
        <v>42</v>
      </c>
      <c r="AC5" s="2" t="s">
        <v>43</v>
      </c>
      <c r="AD5" s="2" t="s">
        <v>44</v>
      </c>
      <c r="AE5" s="2" t="s">
        <v>45</v>
      </c>
      <c r="AF5" s="2" t="s">
        <v>46</v>
      </c>
      <c r="AG5" s="2" t="s">
        <v>47</v>
      </c>
      <c r="AH5" s="2" t="s">
        <v>48</v>
      </c>
      <c r="AI5" s="2" t="s">
        <v>49</v>
      </c>
      <c r="AJ5" s="2" t="s">
        <v>50</v>
      </c>
      <c r="AK5" s="2" t="s">
        <v>51</v>
      </c>
      <c r="AO5" s="3" t="s">
        <v>66</v>
      </c>
      <c r="AP5" s="2" t="s">
        <v>37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</row>
    <row r="6" spans="1:53" ht="13.2" x14ac:dyDescent="0.25">
      <c r="A6" s="4">
        <v>2018</v>
      </c>
      <c r="B6">
        <v>138.77500000000001</v>
      </c>
      <c r="C6" s="2">
        <v>3.9513108614232476E-2</v>
      </c>
      <c r="F6">
        <f>SUMIFS(Table1[General index],Table1[Year],A6)</f>
        <v>1665.3</v>
      </c>
      <c r="G6" s="2">
        <f t="shared" ref="G6:G10" si="0">(F6-F5)/F5</f>
        <v>3.9513108614232184E-2</v>
      </c>
      <c r="J6" s="1" t="s">
        <v>40</v>
      </c>
      <c r="K6" s="1">
        <v>2017</v>
      </c>
      <c r="L6" s="1" t="s">
        <v>44</v>
      </c>
      <c r="M6" s="1">
        <v>131.4</v>
      </c>
      <c r="O6" s="4" t="s">
        <v>67</v>
      </c>
      <c r="P6" s="2"/>
      <c r="Q6" s="2">
        <v>4.267185473411144E-2</v>
      </c>
      <c r="R6" s="2">
        <v>2.2950615748227734E-2</v>
      </c>
      <c r="S6" s="2">
        <v>1.9870990564733862E-2</v>
      </c>
      <c r="T6" s="2">
        <v>5.3394901144640829E-2</v>
      </c>
      <c r="U6" s="2">
        <v>-7.0434854191105001E-3</v>
      </c>
      <c r="V6" s="2">
        <v>8.0022798518096447E-2</v>
      </c>
      <c r="W6" s="2">
        <v>0.10203176948651634</v>
      </c>
      <c r="Y6" s="4" t="s">
        <v>67</v>
      </c>
      <c r="Z6" s="2"/>
      <c r="AA6" s="2">
        <v>3.2756200280771083E-3</v>
      </c>
      <c r="AB6" s="2">
        <v>2.3320895522387676E-3</v>
      </c>
      <c r="AC6" s="2">
        <v>3.037957854151163E-3</v>
      </c>
      <c r="AD6" s="2">
        <v>-4.3741342859223292E-3</v>
      </c>
      <c r="AE6" s="2">
        <v>-1.3619389324156416E-2</v>
      </c>
      <c r="AF6" s="2">
        <v>3.8601440130651794E-3</v>
      </c>
      <c r="AG6" s="2">
        <v>5.9158470753531865E-3</v>
      </c>
      <c r="AH6" s="2">
        <v>4.557818128354073E-3</v>
      </c>
      <c r="AI6" s="2">
        <v>2.8540065861691532E-3</v>
      </c>
      <c r="AJ6" s="2">
        <v>4.2323409223583184E-3</v>
      </c>
      <c r="AK6" s="2">
        <v>3.2698735648887416E-3</v>
      </c>
      <c r="AO6" s="4" t="s">
        <v>68</v>
      </c>
      <c r="AP6" s="2"/>
      <c r="AQ6" s="2">
        <v>0</v>
      </c>
      <c r="AR6" s="2">
        <v>2.301874383426673E-3</v>
      </c>
      <c r="AS6" s="2">
        <v>-2.8142315543892783E-3</v>
      </c>
      <c r="AT6" s="2">
        <v>9.9485282290495223E-3</v>
      </c>
      <c r="AU6" s="2">
        <v>-1.2255428940012957E-2</v>
      </c>
      <c r="AV6" s="2">
        <v>9.1423595994775137E-3</v>
      </c>
      <c r="AW6" s="2">
        <v>7.1901064135749216E-3</v>
      </c>
      <c r="AX6" s="2">
        <v>2.6413478012566605E-3</v>
      </c>
      <c r="AY6" s="2">
        <v>7.5471698113205674E-3</v>
      </c>
      <c r="AZ6" s="2">
        <v>5.4413115680871336E-3</v>
      </c>
      <c r="BA6" s="2">
        <v>-2.7410739387125019E-3</v>
      </c>
    </row>
    <row r="7" spans="1:53" ht="13.2" x14ac:dyDescent="0.25">
      <c r="A7" s="4">
        <v>2019</v>
      </c>
      <c r="B7">
        <v>144.18181818181822</v>
      </c>
      <c r="C7" s="2">
        <v>3.8961038961039161E-2</v>
      </c>
      <c r="F7">
        <f>SUMIFS(Table1[General index],Table1[Year],A7)</f>
        <v>1586</v>
      </c>
      <c r="G7" s="2">
        <f t="shared" si="0"/>
        <v>-4.7619047619047596E-2</v>
      </c>
      <c r="J7" s="1" t="s">
        <v>40</v>
      </c>
      <c r="K7" s="1">
        <v>2017</v>
      </c>
      <c r="L7" s="1" t="s">
        <v>45</v>
      </c>
      <c r="M7" s="1">
        <v>132</v>
      </c>
      <c r="O7" s="4" t="s">
        <v>69</v>
      </c>
      <c r="P7" s="2"/>
      <c r="Q7" s="2">
        <v>3.0455316057157091E-2</v>
      </c>
      <c r="R7" s="2">
        <v>3.5959809624537035E-2</v>
      </c>
      <c r="S7" s="2">
        <v>8.2989156496047933E-2</v>
      </c>
      <c r="T7" s="2">
        <v>0.15398503113751927</v>
      </c>
      <c r="U7" s="2">
        <v>8.4259158406854717E-2</v>
      </c>
      <c r="V7" s="2">
        <v>5.3199949771880493E-2</v>
      </c>
      <c r="W7" s="2">
        <v>1.224068039106696E-3</v>
      </c>
      <c r="Y7" s="4" t="s">
        <v>69</v>
      </c>
      <c r="Z7" s="2"/>
      <c r="AA7" s="2">
        <v>2.9677113010437907E-4</v>
      </c>
      <c r="AB7" s="2">
        <v>1.0324571292944762E-2</v>
      </c>
      <c r="AC7" s="2">
        <v>2.714642756928579E-3</v>
      </c>
      <c r="AD7" s="2">
        <v>1.700193285131342E-2</v>
      </c>
      <c r="AE7" s="2">
        <v>1.3937282229966889E-3</v>
      </c>
      <c r="AF7" s="2">
        <v>2.0876826722338996E-3</v>
      </c>
      <c r="AG7" s="2">
        <v>-1.1553030303030381E-2</v>
      </c>
      <c r="AH7" s="2">
        <v>-4.8540588873985501E-3</v>
      </c>
      <c r="AI7" s="2">
        <v>4.3642898401900186E-3</v>
      </c>
      <c r="AJ7" s="2">
        <v>-5.7511662087036497E-4</v>
      </c>
      <c r="AK7" s="2">
        <v>1.59846547314578E-3</v>
      </c>
      <c r="AO7" s="4" t="s">
        <v>70</v>
      </c>
      <c r="AP7" s="2"/>
      <c r="AQ7" s="2">
        <v>-5.6259286307892261E-3</v>
      </c>
      <c r="AR7" s="2">
        <v>4.9638349170345484E-4</v>
      </c>
      <c r="AS7" s="2">
        <v>9.7804845944333748E-3</v>
      </c>
      <c r="AT7" s="2">
        <v>1.7517481132607953E-3</v>
      </c>
      <c r="AU7" s="2">
        <v>-6.8816304509396204E-3</v>
      </c>
      <c r="AV7" s="2">
        <v>1.0798645180245269E-2</v>
      </c>
      <c r="AW7" s="2">
        <v>5.522619707032753E-3</v>
      </c>
      <c r="AX7" s="2">
        <v>1.1453629164198799E-4</v>
      </c>
      <c r="AY7" s="2">
        <v>8.9818889779623746E-3</v>
      </c>
      <c r="AZ7" s="2">
        <v>8.3019846932158529E-3</v>
      </c>
      <c r="BA7" s="2">
        <v>-3.8648741369697805E-3</v>
      </c>
    </row>
    <row r="8" spans="1:53" ht="13.2" x14ac:dyDescent="0.25">
      <c r="A8" s="4">
        <v>2020</v>
      </c>
      <c r="B8">
        <v>153.38</v>
      </c>
      <c r="C8" s="2">
        <v>6.3795712484236794E-2</v>
      </c>
      <c r="F8">
        <f>SUMIFS(Table1[General index],Table1[Year],A8)</f>
        <v>1533.8000000000002</v>
      </c>
      <c r="G8" s="2">
        <f t="shared" si="0"/>
        <v>-3.2912988650693455E-2</v>
      </c>
      <c r="J8" s="1" t="s">
        <v>40</v>
      </c>
      <c r="K8" s="1">
        <v>2017</v>
      </c>
      <c r="L8" s="1" t="s">
        <v>46</v>
      </c>
      <c r="M8" s="1">
        <v>134.19999999999999</v>
      </c>
      <c r="O8" s="4" t="s">
        <v>71</v>
      </c>
      <c r="P8" s="2"/>
      <c r="Q8" s="2">
        <v>2.0619223062504029E-2</v>
      </c>
      <c r="R8" s="2">
        <v>4.5598480050665198E-2</v>
      </c>
      <c r="S8" s="2">
        <v>2.6287098728043662E-2</v>
      </c>
      <c r="T8" s="2">
        <v>0.10739119237702781</v>
      </c>
      <c r="U8" s="2">
        <v>0.10495639534883719</v>
      </c>
      <c r="V8" s="2">
        <v>1.6398977475525296E-3</v>
      </c>
      <c r="W8" s="2">
        <v>2.5896855588192734E-2</v>
      </c>
      <c r="Y8" s="4" t="s">
        <v>71</v>
      </c>
      <c r="Z8" s="2"/>
      <c r="AA8" s="2">
        <v>-2.3908847518834691E-2</v>
      </c>
      <c r="AB8" s="2">
        <v>-2.0412068635580771E-2</v>
      </c>
      <c r="AC8" s="2">
        <v>-2.1052288858501002E-2</v>
      </c>
      <c r="AD8" s="2">
        <v>-2.8535889368550989E-3</v>
      </c>
      <c r="AE8" s="2">
        <v>1.2547695920164217E-2</v>
      </c>
      <c r="AF8" s="2">
        <v>1.5001087035292571E-2</v>
      </c>
      <c r="AG8" s="2">
        <v>-1.5136370127088423E-2</v>
      </c>
      <c r="AH8" s="2">
        <v>-5.0746701464399874E-4</v>
      </c>
      <c r="AI8" s="2">
        <v>1.1895263654167283E-2</v>
      </c>
      <c r="AJ8" s="2">
        <v>3.7129954841946443E-2</v>
      </c>
      <c r="AK8" s="2">
        <v>2.5088119427742233E-2</v>
      </c>
      <c r="AO8" s="4" t="s">
        <v>72</v>
      </c>
      <c r="AP8" s="2"/>
      <c r="AQ8" s="2">
        <v>4.814260620649575E-3</v>
      </c>
      <c r="AR8" s="2">
        <v>3.453113197366694E-3</v>
      </c>
      <c r="AS8" s="2">
        <v>-3.0851584997189101E-3</v>
      </c>
      <c r="AT8" s="2">
        <v>9.616601624301075E-3</v>
      </c>
      <c r="AU8" s="2">
        <v>-2.0849493453682033E-2</v>
      </c>
      <c r="AV8" s="2">
        <v>4.1530631841750557E-3</v>
      </c>
      <c r="AW8" s="2">
        <v>5.0443472232182375E-3</v>
      </c>
      <c r="AX8" s="2">
        <v>4.1627021883920753E-3</v>
      </c>
      <c r="AY8" s="2">
        <v>4.7139642307236305E-3</v>
      </c>
      <c r="AZ8" s="2">
        <v>4.6682699108786608E-3</v>
      </c>
      <c r="BA8" s="2">
        <v>3.9894865296156434E-3</v>
      </c>
    </row>
    <row r="9" spans="1:53" ht="13.2" x14ac:dyDescent="0.25">
      <c r="A9" s="4">
        <v>2021</v>
      </c>
      <c r="B9">
        <v>161.45833333333331</v>
      </c>
      <c r="C9" s="2">
        <v>5.2668752988220886E-2</v>
      </c>
      <c r="F9">
        <f>SUMIFS(Table1[General index],Table1[Year],A9)</f>
        <v>1937.5000000000002</v>
      </c>
      <c r="G9" s="2">
        <f t="shared" si="0"/>
        <v>0.26320250358586517</v>
      </c>
      <c r="J9" s="1" t="s">
        <v>40</v>
      </c>
      <c r="K9" s="1">
        <v>2017</v>
      </c>
      <c r="L9" s="1" t="s">
        <v>47</v>
      </c>
      <c r="M9" s="1">
        <v>135.4</v>
      </c>
      <c r="O9" s="4" t="s">
        <v>73</v>
      </c>
      <c r="P9" s="2"/>
      <c r="Q9" s="2">
        <v>4.2386185243328101E-2</v>
      </c>
      <c r="R9" s="2">
        <v>2.5903614457831188E-2</v>
      </c>
      <c r="S9" s="2">
        <v>1.7050125447071927E-2</v>
      </c>
      <c r="T9" s="2">
        <v>6.0023933992567828E-2</v>
      </c>
      <c r="U9" s="2">
        <v>2.592592592592613E-2</v>
      </c>
      <c r="V9" s="2">
        <v>6.1371841155234787E-2</v>
      </c>
      <c r="W9" s="2">
        <v>6.494597839135649E-2</v>
      </c>
      <c r="Y9" s="4" t="s">
        <v>73</v>
      </c>
      <c r="Z9" s="2"/>
      <c r="AA9" s="2">
        <v>4.636583295239409E-3</v>
      </c>
      <c r="AB9" s="2">
        <v>3.0551222048880583E-3</v>
      </c>
      <c r="AC9" s="2">
        <v>6.759121249433093E-3</v>
      </c>
      <c r="AD9" s="2">
        <v>-3.7527437513278305E-3</v>
      </c>
      <c r="AE9" s="2">
        <v>-1.3930348258706525E-2</v>
      </c>
      <c r="AF9" s="2">
        <v>4.8291768776129165E-3</v>
      </c>
      <c r="AG9" s="2">
        <v>4.4473136790763434E-3</v>
      </c>
      <c r="AH9" s="2">
        <v>4.1419695779474682E-3</v>
      </c>
      <c r="AI9" s="2">
        <v>2.9158665813240033E-3</v>
      </c>
      <c r="AJ9" s="2">
        <v>3.8292440788542091E-3</v>
      </c>
      <c r="AK9" s="2">
        <v>4.0972025996044966E-3</v>
      </c>
      <c r="AO9" s="4" t="s">
        <v>74</v>
      </c>
      <c r="AP9" s="2"/>
      <c r="AQ9" s="2">
        <v>4.9600774255987396E-3</v>
      </c>
      <c r="AR9" s="2">
        <v>3.2502708559046297E-3</v>
      </c>
      <c r="AS9" s="2">
        <v>3.2884035943791684E-3</v>
      </c>
      <c r="AT9" s="2">
        <v>-9.7205879128516232E-4</v>
      </c>
      <c r="AU9" s="2">
        <v>-1.6855658789962497E-2</v>
      </c>
      <c r="AV9" s="2">
        <v>6.3548286279819684E-3</v>
      </c>
      <c r="AW9" s="2">
        <v>5.8118899733806666E-3</v>
      </c>
      <c r="AX9" s="2">
        <v>3.6757678679076055E-3</v>
      </c>
      <c r="AY9" s="2">
        <v>5.1711761862208577E-3</v>
      </c>
      <c r="AZ9" s="2">
        <v>3.3374140142242831E-3</v>
      </c>
      <c r="BA9" s="2">
        <v>1.9899774856559842E-3</v>
      </c>
    </row>
    <row r="10" spans="1:53" ht="13.2" x14ac:dyDescent="0.25">
      <c r="A10" s="4">
        <v>2022</v>
      </c>
      <c r="B10">
        <v>172.14999999999998</v>
      </c>
      <c r="C10" s="2">
        <v>6.6219354838709665E-2</v>
      </c>
      <c r="D10" t="s">
        <v>75</v>
      </c>
      <c r="F10">
        <f>SUMIFS(Table1[General index],Table1[Year],A10)</f>
        <v>2065.7999999999997</v>
      </c>
      <c r="G10" s="2">
        <f t="shared" si="0"/>
        <v>6.6219354838709416E-2</v>
      </c>
      <c r="J10" s="1" t="s">
        <v>40</v>
      </c>
      <c r="K10" s="1">
        <v>2017</v>
      </c>
      <c r="L10" s="1" t="s">
        <v>48</v>
      </c>
      <c r="M10" s="1">
        <v>135.19999999999999</v>
      </c>
      <c r="O10" s="4" t="s">
        <v>76</v>
      </c>
      <c r="P10" s="2"/>
      <c r="Q10" s="2">
        <v>2.1577060931899698E-2</v>
      </c>
      <c r="R10" s="2">
        <v>2.0980983790611127E-2</v>
      </c>
      <c r="S10" s="2">
        <v>1.4283036551077807E-2</v>
      </c>
      <c r="T10" s="2">
        <v>0.11265523358959199</v>
      </c>
      <c r="U10" s="2">
        <v>0.29863141110815844</v>
      </c>
      <c r="V10" s="2">
        <v>8.2254736447195359E-2</v>
      </c>
      <c r="W10" s="2">
        <v>-7.3819221769650722E-2</v>
      </c>
      <c r="Y10" s="4" t="s">
        <v>76</v>
      </c>
      <c r="Z10" s="2"/>
      <c r="AA10" s="2">
        <v>1.1722521031584125E-3</v>
      </c>
      <c r="AB10" s="2">
        <v>9.6425373648323463E-3</v>
      </c>
      <c r="AC10" s="2">
        <v>1.655638174500294E-2</v>
      </c>
      <c r="AD10" s="2">
        <v>-4.5028419576290963E-3</v>
      </c>
      <c r="AE10" s="2">
        <v>-2.0317366157496523E-2</v>
      </c>
      <c r="AF10" s="2">
        <v>-4.1628822282774097E-3</v>
      </c>
      <c r="AG10" s="2">
        <v>4.6363152694384258E-3</v>
      </c>
      <c r="AH10" s="2">
        <v>-4.5392646391264826E-4</v>
      </c>
      <c r="AI10" s="2">
        <v>3.5573720859820007E-3</v>
      </c>
      <c r="AJ10" s="2">
        <v>5.9582170601102692E-3</v>
      </c>
      <c r="AK10" s="2">
        <v>4.4234517918728703E-3</v>
      </c>
      <c r="AO10" s="4" t="s">
        <v>77</v>
      </c>
      <c r="AP10" s="2"/>
      <c r="AQ10" s="2">
        <v>6.2040980582850052E-3</v>
      </c>
      <c r="AR10" s="2">
        <v>2.6663111585120661E-3</v>
      </c>
      <c r="AS10" s="2">
        <v>3.7993617869964886E-3</v>
      </c>
      <c r="AT10" s="2">
        <v>-2.6226641897059357E-3</v>
      </c>
      <c r="AU10" s="2">
        <v>-2.1073006829553272E-2</v>
      </c>
      <c r="AV10" s="2">
        <v>3.8054021787792187E-3</v>
      </c>
      <c r="AW10" s="2">
        <v>6.912956217943792E-3</v>
      </c>
      <c r="AX10" s="2">
        <v>5.5366897977264769E-3</v>
      </c>
      <c r="AY10" s="2">
        <v>4.8454592173848947E-3</v>
      </c>
      <c r="AZ10" s="2">
        <v>3.9818806166434387E-3</v>
      </c>
      <c r="BA10" s="2">
        <v>3.7477713495614479E-3</v>
      </c>
    </row>
    <row r="11" spans="1:53" ht="13.2" x14ac:dyDescent="0.25">
      <c r="A11" s="4">
        <v>2023</v>
      </c>
      <c r="B11">
        <v>177.61999999999998</v>
      </c>
      <c r="C11" s="2">
        <v>3.1774615161196632E-2</v>
      </c>
      <c r="F11">
        <f>SUMIFS(Table1[General index],Table1[Year],A11)</f>
        <v>888.1</v>
      </c>
      <c r="G11" s="2">
        <f t="shared" ref="G11" si="1">(F11-F10)/F10</f>
        <v>-0.57009391034950141</v>
      </c>
      <c r="J11" s="1" t="s">
        <v>40</v>
      </c>
      <c r="K11" s="1">
        <v>2017</v>
      </c>
      <c r="L11" s="1" t="s">
        <v>49</v>
      </c>
      <c r="M11" s="1">
        <v>136.1</v>
      </c>
      <c r="O11" s="4" t="s">
        <v>78</v>
      </c>
      <c r="P11" s="2"/>
      <c r="Q11" s="2">
        <v>5.1014021031547244E-2</v>
      </c>
      <c r="R11" s="2">
        <v>5.0562801500803917E-2</v>
      </c>
      <c r="S11" s="2">
        <v>-1.663574520717373E-2</v>
      </c>
      <c r="T11" s="2">
        <v>1.905540532042007E-2</v>
      </c>
      <c r="U11" s="2">
        <v>7.1782687402287423E-2</v>
      </c>
      <c r="V11" s="2">
        <v>4.1697455927372597E-2</v>
      </c>
      <c r="W11" s="2">
        <v>2.8536684231860527E-2</v>
      </c>
      <c r="Y11" s="4" t="s">
        <v>78</v>
      </c>
      <c r="Z11" s="2"/>
      <c r="AA11" s="2">
        <v>1.1122345803842264E-2</v>
      </c>
      <c r="AB11" s="2">
        <v>1.5466666666666563E-2</v>
      </c>
      <c r="AC11" s="2">
        <v>5.3564863445378287E-2</v>
      </c>
      <c r="AD11" s="2">
        <v>-2.7417917609157973E-3</v>
      </c>
      <c r="AE11" s="2">
        <v>-1.7801910784246363E-2</v>
      </c>
      <c r="AF11" s="2">
        <v>9.6571028691390271E-3</v>
      </c>
      <c r="AG11" s="2">
        <v>-4.0892708622121922E-3</v>
      </c>
      <c r="AH11" s="2">
        <v>-2.0530308302595984E-2</v>
      </c>
      <c r="AI11" s="2">
        <v>-3.3394912604801088E-3</v>
      </c>
      <c r="AJ11" s="2">
        <v>-2.28131460754275E-3</v>
      </c>
      <c r="AK11" s="2">
        <v>-1.0003572704537377E-2</v>
      </c>
      <c r="AO11" s="4" t="s">
        <v>79</v>
      </c>
      <c r="AP11" s="2"/>
      <c r="AQ11" s="2">
        <v>4.7666507778306747E-3</v>
      </c>
      <c r="AR11" s="2">
        <v>3.6227196273777569E-3</v>
      </c>
      <c r="AS11" s="2">
        <v>-8.950100029125458E-3</v>
      </c>
      <c r="AT11" s="2">
        <v>1.063091231882138E-2</v>
      </c>
      <c r="AU11" s="2">
        <v>-1.3261597998961736E-2</v>
      </c>
      <c r="AV11" s="2">
        <v>4.2089152477518994E-3</v>
      </c>
      <c r="AW11" s="2">
        <v>4.3817870070492412E-3</v>
      </c>
      <c r="AX11" s="2">
        <v>4.7657435508347105E-3</v>
      </c>
      <c r="AY11" s="2">
        <v>4.6251504353776989E-3</v>
      </c>
      <c r="AZ11" s="2">
        <v>3.7817396002158637E-3</v>
      </c>
      <c r="BA11" s="2">
        <v>3.2526793653765498E-3</v>
      </c>
    </row>
    <row r="12" spans="1:53" ht="13.2" x14ac:dyDescent="0.25">
      <c r="A12" s="4" t="s">
        <v>80</v>
      </c>
      <c r="B12">
        <v>149.17325581395352</v>
      </c>
      <c r="C12" s="2"/>
      <c r="H12" s="42" t="s">
        <v>81</v>
      </c>
      <c r="J12" s="1" t="s">
        <v>40</v>
      </c>
      <c r="K12" s="1">
        <v>2017</v>
      </c>
      <c r="L12" s="1" t="s">
        <v>50</v>
      </c>
      <c r="M12" s="1">
        <v>137.6</v>
      </c>
      <c r="O12" s="4" t="s">
        <v>82</v>
      </c>
      <c r="P12" s="2"/>
      <c r="Q12" s="2">
        <v>-6.0518731988470666E-3</v>
      </c>
      <c r="R12" s="2">
        <v>3.0153667729773052E-3</v>
      </c>
      <c r="S12" s="2">
        <v>0.13083193617390332</v>
      </c>
      <c r="T12" s="2">
        <v>0.1383714445064137</v>
      </c>
      <c r="U12" s="2">
        <v>-9.6132804206881792E-2</v>
      </c>
      <c r="V12" s="2">
        <v>6.2108715094902227E-2</v>
      </c>
      <c r="W12" s="2">
        <v>-0.12896706586826359</v>
      </c>
      <c r="Y12" s="4" t="s">
        <v>82</v>
      </c>
      <c r="Z12" s="2"/>
      <c r="AA12" s="2">
        <v>-6.1952363322226138E-2</v>
      </c>
      <c r="AB12" s="2">
        <v>-1.874753321931347E-2</v>
      </c>
      <c r="AC12" s="2">
        <v>1.7704632298719828E-2</v>
      </c>
      <c r="AD12" s="2">
        <v>1.5795956814723205E-2</v>
      </c>
      <c r="AE12" s="2">
        <v>5.5210785362722302E-2</v>
      </c>
      <c r="AF12" s="2">
        <v>7.2601906307037167E-2</v>
      </c>
      <c r="AG12" s="2">
        <v>4.3864624692758244E-2</v>
      </c>
      <c r="AH12" s="2">
        <v>1.2075107166599442E-4</v>
      </c>
      <c r="AI12" s="2">
        <v>4.5276184726833854E-2</v>
      </c>
      <c r="AJ12" s="2">
        <v>2.1195495235344999E-2</v>
      </c>
      <c r="AK12" s="2">
        <v>-6.656486822757611E-2</v>
      </c>
    </row>
    <row r="13" spans="1:53" ht="13.2" x14ac:dyDescent="0.25">
      <c r="H13" s="42" t="s">
        <v>83</v>
      </c>
      <c r="J13" s="1" t="s">
        <v>40</v>
      </c>
      <c r="K13" s="1">
        <v>2017</v>
      </c>
      <c r="L13" s="1" t="s">
        <v>51</v>
      </c>
      <c r="M13" s="1">
        <v>137.19999999999999</v>
      </c>
      <c r="O13" s="4" t="s">
        <v>84</v>
      </c>
      <c r="P13" s="2"/>
      <c r="Q13" s="2">
        <v>-0.19002386867358365</v>
      </c>
      <c r="R13" s="2">
        <v>-0.11691123406302663</v>
      </c>
      <c r="S13" s="2">
        <v>5.1459844976598154E-2</v>
      </c>
      <c r="T13" s="2">
        <v>0.16081396170423251</v>
      </c>
      <c r="U13" s="2">
        <v>9.3148294682167662E-2</v>
      </c>
      <c r="V13" s="2">
        <v>1.9242547978766924E-2</v>
      </c>
      <c r="W13" s="2">
        <v>3.6005809003956002E-2</v>
      </c>
      <c r="Y13" s="4" t="s">
        <v>84</v>
      </c>
      <c r="Z13" s="2"/>
      <c r="AA13" s="2">
        <v>-7.0440739304638619E-3</v>
      </c>
      <c r="AB13" s="2">
        <v>-5.7273023104459E-3</v>
      </c>
      <c r="AC13" s="2">
        <v>2.4756169404987888E-2</v>
      </c>
      <c r="AD13" s="2">
        <v>-8.5019673974143332E-3</v>
      </c>
      <c r="AE13" s="2">
        <v>-9.6378711643397737E-3</v>
      </c>
      <c r="AF13" s="2">
        <v>2.2182468694096763E-3</v>
      </c>
      <c r="AG13" s="2">
        <v>5.4976438669140501E-3</v>
      </c>
      <c r="AH13" s="2">
        <v>3.4083646950224971E-3</v>
      </c>
      <c r="AI13" s="2">
        <v>1.2384120019814591E-2</v>
      </c>
      <c r="AJ13" s="2">
        <v>1.1393820774500178E-2</v>
      </c>
      <c r="AK13" s="2">
        <v>1.520492086530011E-3</v>
      </c>
    </row>
    <row r="14" spans="1:53" ht="13.2" x14ac:dyDescent="0.25">
      <c r="H14" t="s">
        <v>85</v>
      </c>
      <c r="J14" s="1" t="s">
        <v>40</v>
      </c>
      <c r="K14" s="1">
        <v>2018</v>
      </c>
      <c r="L14" s="1" t="s">
        <v>37</v>
      </c>
      <c r="M14" s="1">
        <v>136.9</v>
      </c>
      <c r="O14" s="4" t="s">
        <v>86</v>
      </c>
      <c r="P14" s="2"/>
      <c r="Q14" s="2">
        <v>0.10378444768557597</v>
      </c>
      <c r="R14" s="2">
        <v>-5.2507128451213622E-2</v>
      </c>
      <c r="S14" s="2">
        <v>-1.790957134468571E-2</v>
      </c>
      <c r="T14" s="2">
        <v>3.4080717488789214E-2</v>
      </c>
      <c r="U14" s="2">
        <v>1.3443191673894041E-2</v>
      </c>
      <c r="V14" s="2">
        <v>3.0238197118813526E-2</v>
      </c>
      <c r="W14" s="2">
        <v>5.288661221099296E-3</v>
      </c>
      <c r="Y14" s="4" t="s">
        <v>86</v>
      </c>
      <c r="Z14" s="2"/>
      <c r="AA14" s="2">
        <v>-4.9338047857906539E-3</v>
      </c>
      <c r="AB14" s="2">
        <v>-5.7846458970319176E-4</v>
      </c>
      <c r="AC14" s="2">
        <v>1.2593021332892263E-2</v>
      </c>
      <c r="AD14" s="2">
        <v>-6.5570825473816943E-3</v>
      </c>
      <c r="AE14" s="2">
        <v>-4.5207956600359098E-3</v>
      </c>
      <c r="AF14" s="2">
        <v>2.5431425976382622E-3</v>
      </c>
      <c r="AG14" s="2">
        <v>9.6031889835116561E-3</v>
      </c>
      <c r="AH14" s="2">
        <v>2.5125628140702343E-3</v>
      </c>
      <c r="AI14" s="2">
        <v>2.4167561761545098E-3</v>
      </c>
      <c r="AJ14" s="2">
        <v>9.8223055629979156E-4</v>
      </c>
      <c r="AK14" s="2">
        <v>-5.4415700267616881E-3</v>
      </c>
    </row>
    <row r="15" spans="1:53" ht="13.2" x14ac:dyDescent="0.25">
      <c r="J15" s="1" t="s">
        <v>40</v>
      </c>
      <c r="K15" s="1">
        <v>2018</v>
      </c>
      <c r="L15" s="1" t="s">
        <v>41</v>
      </c>
      <c r="M15" s="1">
        <v>136.4</v>
      </c>
      <c r="O15" s="4" t="s">
        <v>87</v>
      </c>
      <c r="P15" s="2"/>
      <c r="Q15" s="2">
        <v>3.6585365853646052E-4</v>
      </c>
      <c r="R15" s="2">
        <v>1.6457393636474461E-2</v>
      </c>
      <c r="S15" s="2">
        <v>2.6145358599184605E-2</v>
      </c>
      <c r="T15" s="2">
        <v>0.10818564324875671</v>
      </c>
      <c r="U15" s="2">
        <v>5.8678018753955064E-2</v>
      </c>
      <c r="V15" s="2">
        <v>0.1286610878661088</v>
      </c>
      <c r="W15" s="2">
        <v>0.12135575268105384</v>
      </c>
      <c r="Y15" s="4" t="s">
        <v>87</v>
      </c>
      <c r="Z15" s="2"/>
      <c r="AA15" s="2">
        <v>4.1170509247527966E-3</v>
      </c>
      <c r="AB15" s="2">
        <v>2.8385794486849711E-3</v>
      </c>
      <c r="AC15" s="2">
        <v>1.1988929425085025E-2</v>
      </c>
      <c r="AD15" s="2">
        <v>-7.5208532749906757E-4</v>
      </c>
      <c r="AE15" s="2">
        <v>-3.4416695176189047E-2</v>
      </c>
      <c r="AF15" s="2">
        <v>5.8815192743765067E-3</v>
      </c>
      <c r="AG15" s="2">
        <v>6.9742867206763594E-3</v>
      </c>
      <c r="AH15" s="2">
        <v>6.5062263886946047E-3</v>
      </c>
      <c r="AI15" s="2">
        <v>6.9507193994578437E-3</v>
      </c>
      <c r="AJ15" s="2">
        <v>6.3505211568993985E-3</v>
      </c>
      <c r="AK15" s="2">
        <v>6.2418547225459092E-3</v>
      </c>
    </row>
    <row r="16" spans="1:53" ht="13.2" x14ac:dyDescent="0.25">
      <c r="J16" s="1" t="s">
        <v>40</v>
      </c>
      <c r="K16" s="1">
        <v>2018</v>
      </c>
      <c r="L16" s="1" t="s">
        <v>42</v>
      </c>
      <c r="M16" s="1">
        <v>136.5</v>
      </c>
      <c r="O16" s="4" t="s">
        <v>88</v>
      </c>
      <c r="P16" s="2"/>
      <c r="Q16" s="2">
        <v>2.6597166533012764E-2</v>
      </c>
      <c r="R16" s="2">
        <v>2.1741960682202598E-2</v>
      </c>
      <c r="S16" s="2">
        <v>2.8356964136780721E-2</v>
      </c>
      <c r="T16" s="2">
        <v>4.5823195458231908E-2</v>
      </c>
      <c r="U16" s="2">
        <v>0.1362662099866444</v>
      </c>
      <c r="V16" s="2">
        <v>4.9684583702622361E-2</v>
      </c>
      <c r="W16" s="2">
        <v>2.7873249230158E-2</v>
      </c>
      <c r="Y16" s="4" t="s">
        <v>88</v>
      </c>
      <c r="Z16" s="2"/>
      <c r="AA16" s="2">
        <v>5.103082261685884E-3</v>
      </c>
      <c r="AB16" s="2">
        <v>2.5047386948281033E-3</v>
      </c>
      <c r="AC16" s="2">
        <v>4.9969613073132203E-3</v>
      </c>
      <c r="AD16" s="2">
        <v>2.5868440502588522E-3</v>
      </c>
      <c r="AE16" s="2">
        <v>-2.1747143383708402E-2</v>
      </c>
      <c r="AF16" s="2">
        <v>3.3911077618690058E-3</v>
      </c>
      <c r="AG16" s="2">
        <v>4.9568156214795083E-3</v>
      </c>
      <c r="AH16" s="2">
        <v>2.9893132052909144E-3</v>
      </c>
      <c r="AI16" s="2">
        <v>5.1411966321436393E-3</v>
      </c>
      <c r="AJ16" s="2">
        <v>4.2253521126762172E-3</v>
      </c>
      <c r="AK16" s="2">
        <v>4.1337565512657697E-3</v>
      </c>
    </row>
    <row r="17" spans="1:67" ht="13.2" x14ac:dyDescent="0.25">
      <c r="J17" s="1" t="s">
        <v>40</v>
      </c>
      <c r="K17" s="1">
        <v>2018</v>
      </c>
      <c r="L17" s="1" t="s">
        <v>43</v>
      </c>
      <c r="M17" s="1">
        <v>137.1</v>
      </c>
      <c r="O17" s="4" t="s">
        <v>89</v>
      </c>
      <c r="P17" s="2"/>
      <c r="Q17" s="2">
        <v>5.1824685865448236E-2</v>
      </c>
      <c r="R17" s="2">
        <v>4.424121177479292E-2</v>
      </c>
      <c r="S17" s="2">
        <v>2.6060042098139429E-2</v>
      </c>
      <c r="T17" s="2">
        <v>3.572717220508613E-2</v>
      </c>
      <c r="U17" s="2">
        <v>6.0891690875002895E-2</v>
      </c>
      <c r="V17" s="2">
        <v>7.2437733650531647E-2</v>
      </c>
      <c r="W17" s="2">
        <v>4.8377020236316723E-2</v>
      </c>
      <c r="Y17" s="4" t="s">
        <v>89</v>
      </c>
      <c r="Z17" s="2"/>
      <c r="AA17" s="2">
        <v>5.4087277197296417E-3</v>
      </c>
      <c r="AB17" s="2">
        <v>4.1569874067736773E-3</v>
      </c>
      <c r="AC17" s="2">
        <v>-7.4745998890648783E-3</v>
      </c>
      <c r="AD17" s="2">
        <v>9.9782592398230778E-3</v>
      </c>
      <c r="AE17" s="2">
        <v>-1.6300354065067604E-2</v>
      </c>
      <c r="AF17" s="2">
        <v>4.0067911714767165E-3</v>
      </c>
      <c r="AG17" s="2">
        <v>5.8170995670996607E-3</v>
      </c>
      <c r="AH17" s="2">
        <v>4.1694687289845636E-3</v>
      </c>
      <c r="AI17" s="2">
        <v>4.4870077685504892E-3</v>
      </c>
      <c r="AJ17" s="2">
        <v>5.1336755783723403E-3</v>
      </c>
      <c r="AK17" s="2">
        <v>4.0461660918014401E-3</v>
      </c>
    </row>
    <row r="18" spans="1:67" ht="13.2" x14ac:dyDescent="0.25">
      <c r="J18" s="1" t="s">
        <v>40</v>
      </c>
      <c r="K18" s="1">
        <v>2018</v>
      </c>
      <c r="L18" s="1" t="s">
        <v>44</v>
      </c>
      <c r="M18" s="1">
        <v>137.80000000000001</v>
      </c>
      <c r="O18" s="4" t="s">
        <v>90</v>
      </c>
      <c r="P18" s="2"/>
      <c r="Q18" s="2">
        <v>1.8158155676747615E-2</v>
      </c>
      <c r="R18" s="2">
        <v>1.6556089841134467E-2</v>
      </c>
      <c r="S18" s="2">
        <v>3.904502180054565E-2</v>
      </c>
      <c r="T18" s="2">
        <v>8.0530584019614063E-2</v>
      </c>
      <c r="U18" s="2">
        <v>4.1836358699867904E-2</v>
      </c>
      <c r="V18" s="2">
        <v>6.624008190427455E-2</v>
      </c>
      <c r="W18" s="2">
        <v>2.2843151375486117E-2</v>
      </c>
      <c r="Y18" s="4" t="s">
        <v>90</v>
      </c>
      <c r="Z18" s="2"/>
      <c r="AA18" s="2">
        <v>-6.1564383384097683E-3</v>
      </c>
      <c r="AB18" s="2">
        <v>1.3041210224309188E-3</v>
      </c>
      <c r="AC18" s="2">
        <v>1.0171919770773754E-2</v>
      </c>
      <c r="AD18" s="2">
        <v>1.9146220394269024E-3</v>
      </c>
      <c r="AE18" s="2">
        <v>-5.2374548800338365E-3</v>
      </c>
      <c r="AF18" s="2">
        <v>1.3233724653148442E-2</v>
      </c>
      <c r="AG18" s="2">
        <v>8.9881328558385817E-3</v>
      </c>
      <c r="AH18" s="2">
        <v>8.3513118519037196E-4</v>
      </c>
      <c r="AI18" s="2">
        <v>1.0221820457547949E-2</v>
      </c>
      <c r="AJ18" s="2">
        <v>6.9520925110133506E-3</v>
      </c>
      <c r="AK18" s="2">
        <v>-8.4079567981406103E-3</v>
      </c>
    </row>
    <row r="19" spans="1:67" ht="13.2" x14ac:dyDescent="0.25">
      <c r="J19" s="1" t="s">
        <v>40</v>
      </c>
      <c r="K19" s="1">
        <v>2018</v>
      </c>
      <c r="L19" s="1" t="s">
        <v>45</v>
      </c>
      <c r="M19" s="1">
        <v>138.5</v>
      </c>
      <c r="O19" s="4" t="s">
        <v>91</v>
      </c>
      <c r="P19" s="2"/>
      <c r="Q19" s="2">
        <v>6.6347018279892075E-2</v>
      </c>
      <c r="R19" s="2">
        <v>6.8907374100719621E-2</v>
      </c>
      <c r="S19" s="2">
        <v>4.4044398130000988E-2</v>
      </c>
      <c r="T19" s="2">
        <v>8.7247953409153353E-2</v>
      </c>
      <c r="U19" s="2">
        <v>5.9755419677598662E-2</v>
      </c>
      <c r="V19" s="2">
        <v>2.1505376344085992E-2</v>
      </c>
      <c r="W19" s="2">
        <v>2.5725288831835641E-2</v>
      </c>
      <c r="Y19" s="4" t="s">
        <v>91</v>
      </c>
      <c r="Z19" s="2"/>
      <c r="AA19" s="2">
        <v>4.9211431281870428E-3</v>
      </c>
      <c r="AB19" s="2">
        <v>3.8940350463150101E-3</v>
      </c>
      <c r="AC19" s="2">
        <v>-1.3674209031246816E-2</v>
      </c>
      <c r="AD19" s="2">
        <v>1.3458597334498822E-2</v>
      </c>
      <c r="AE19" s="2">
        <v>-8.2136851636272039E-3</v>
      </c>
      <c r="AF19" s="2">
        <v>3.5865666775351246E-3</v>
      </c>
      <c r="AG19" s="2">
        <v>4.3534762833007633E-3</v>
      </c>
      <c r="AH19" s="2">
        <v>5.8226046451444477E-3</v>
      </c>
      <c r="AI19" s="2">
        <v>5.0170450890847191E-3</v>
      </c>
      <c r="AJ19" s="2">
        <v>4.2240000000001608E-3</v>
      </c>
      <c r="AK19" s="2">
        <v>4.015040469058667E-3</v>
      </c>
      <c r="AO19" s="3" t="s">
        <v>0</v>
      </c>
      <c r="AP19" t="s">
        <v>40</v>
      </c>
      <c r="AR19" s="1"/>
      <c r="AS19" s="1"/>
      <c r="AT19" s="1"/>
      <c r="AU19" s="7"/>
      <c r="AV19" s="7"/>
      <c r="AW19" s="1"/>
      <c r="AX19" s="1"/>
      <c r="AY19" s="1"/>
      <c r="AZ19" s="1"/>
      <c r="BA19" s="1"/>
    </row>
    <row r="20" spans="1:67" ht="13.2" x14ac:dyDescent="0.25">
      <c r="J20" s="1" t="s">
        <v>40</v>
      </c>
      <c r="K20" s="1">
        <v>2018</v>
      </c>
      <c r="L20" s="1" t="s">
        <v>46</v>
      </c>
      <c r="M20" s="1">
        <v>139.80000000000001</v>
      </c>
      <c r="O20" s="4" t="s">
        <v>92</v>
      </c>
      <c r="P20" s="2"/>
      <c r="Q20" s="2">
        <v>4.6898449224612088E-2</v>
      </c>
      <c r="R20" s="2">
        <v>4.8381316449647598E-2</v>
      </c>
      <c r="S20" s="2">
        <v>1.7444269495317879E-2</v>
      </c>
      <c r="T20" s="2">
        <v>2.6084300549786152E-2</v>
      </c>
      <c r="U20" s="2">
        <v>6.2322636978825674E-2</v>
      </c>
      <c r="V20" s="2">
        <v>9.2725778280078025E-2</v>
      </c>
      <c r="W20" s="2">
        <v>5.0895585538996806E-2</v>
      </c>
      <c r="Y20" s="4" t="s">
        <v>92</v>
      </c>
      <c r="Z20" s="2"/>
      <c r="AA20" s="2">
        <v>4.6675191815858308E-3</v>
      </c>
      <c r="AB20" s="2">
        <v>3.3093616750461147E-3</v>
      </c>
      <c r="AC20" s="2">
        <v>-3.925714487084544E-3</v>
      </c>
      <c r="AD20" s="2">
        <v>9.8381070983812151E-3</v>
      </c>
      <c r="AE20" s="2">
        <v>-1.9908435072142093E-2</v>
      </c>
      <c r="AF20" s="2">
        <v>4.0342557859718645E-3</v>
      </c>
      <c r="AG20" s="2">
        <v>5.2869025800084592E-3</v>
      </c>
      <c r="AH20" s="2">
        <v>4.3475212116962664E-3</v>
      </c>
      <c r="AI20" s="2">
        <v>4.9570620680025696E-3</v>
      </c>
      <c r="AJ20" s="2">
        <v>5.2105043768236768E-3</v>
      </c>
      <c r="AK20" s="2">
        <v>4.0776833229663658E-3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67" ht="13.2" x14ac:dyDescent="0.25">
      <c r="J21" s="1" t="s">
        <v>40</v>
      </c>
      <c r="K21" s="1">
        <v>2018</v>
      </c>
      <c r="L21" s="1" t="s">
        <v>47</v>
      </c>
      <c r="M21" s="1">
        <v>140.4</v>
      </c>
      <c r="O21" s="4" t="s">
        <v>93</v>
      </c>
      <c r="P21" s="2"/>
      <c r="Q21" s="2">
        <v>3.777777777777775E-2</v>
      </c>
      <c r="R21" s="2">
        <v>4.1378007305705969E-2</v>
      </c>
      <c r="S21" s="2">
        <v>1.8797591884982499E-2</v>
      </c>
      <c r="T21" s="2">
        <v>2.3280663126537891E-2</v>
      </c>
      <c r="U21" s="2">
        <v>6.1550063812507265E-2</v>
      </c>
      <c r="V21" s="2">
        <v>0.11443248264932521</v>
      </c>
      <c r="W21" s="2">
        <v>5.2008041975187422E-2</v>
      </c>
      <c r="Y21" s="4" t="s">
        <v>93</v>
      </c>
      <c r="Z21" s="2"/>
      <c r="AA21" s="2">
        <v>4.8871928767489636E-3</v>
      </c>
      <c r="AB21" s="2">
        <v>3.6642238507661562E-3</v>
      </c>
      <c r="AC21" s="2">
        <v>-1.4529630858869365E-3</v>
      </c>
      <c r="AD21" s="2">
        <v>9.1728956776081678E-3</v>
      </c>
      <c r="AE21" s="2">
        <v>-2.2389681907108203E-2</v>
      </c>
      <c r="AF21" s="2">
        <v>4.1506077675655603E-3</v>
      </c>
      <c r="AG21" s="2">
        <v>4.6501328609392717E-3</v>
      </c>
      <c r="AH21" s="2">
        <v>4.0408493130557003E-3</v>
      </c>
      <c r="AI21" s="2">
        <v>4.317283769939605E-3</v>
      </c>
      <c r="AJ21" s="2">
        <v>3.6429872495448343E-3</v>
      </c>
      <c r="AK21" s="2">
        <v>3.8475499092557003E-3</v>
      </c>
      <c r="AP21" s="3" t="s">
        <v>65</v>
      </c>
    </row>
    <row r="22" spans="1:67" ht="13.2" x14ac:dyDescent="0.25">
      <c r="J22" s="1" t="s">
        <v>40</v>
      </c>
      <c r="K22" s="1">
        <v>2018</v>
      </c>
      <c r="L22" s="1" t="s">
        <v>48</v>
      </c>
      <c r="M22" s="1">
        <v>140.19999999999999</v>
      </c>
      <c r="O22" s="4" t="s">
        <v>94</v>
      </c>
      <c r="P22" s="2"/>
      <c r="Q22" s="2">
        <v>4.5683362698212798E-2</v>
      </c>
      <c r="R22" s="2">
        <v>4.7298110482609089E-2</v>
      </c>
      <c r="S22" s="2">
        <v>1.76343996155536E-2</v>
      </c>
      <c r="T22" s="2">
        <v>2.56051740067753E-2</v>
      </c>
      <c r="U22" s="2">
        <v>6.2407786659620046E-2</v>
      </c>
      <c r="V22" s="2">
        <v>9.5657581096486269E-2</v>
      </c>
      <c r="W22" s="2">
        <v>5.0964812712826608E-2</v>
      </c>
      <c r="Y22" s="4" t="s">
        <v>94</v>
      </c>
      <c r="Z22" s="2"/>
      <c r="AA22" s="2">
        <v>4.8918640576724815E-3</v>
      </c>
      <c r="AB22" s="2">
        <v>3.3948244939791075E-3</v>
      </c>
      <c r="AC22" s="2">
        <v>-3.8089158421107916E-3</v>
      </c>
      <c r="AD22" s="2">
        <v>9.8214285714286545E-3</v>
      </c>
      <c r="AE22" s="2">
        <v>-2.0312718134859867E-2</v>
      </c>
      <c r="AF22" s="2">
        <v>4.2750267189169532E-3</v>
      </c>
      <c r="AG22" s="2">
        <v>5.1791415395531625E-3</v>
      </c>
      <c r="AH22" s="2">
        <v>4.0937323546018072E-3</v>
      </c>
      <c r="AI22" s="2">
        <v>4.850274145929972E-3</v>
      </c>
      <c r="AJ22" s="2">
        <v>5.1066806575727052E-3</v>
      </c>
      <c r="AK22" s="2">
        <v>4.0367483296214679E-3</v>
      </c>
      <c r="AO22" s="3" t="s">
        <v>66</v>
      </c>
      <c r="AP22">
        <v>2013</v>
      </c>
      <c r="AQ22">
        <v>2014</v>
      </c>
      <c r="AR22">
        <v>2015</v>
      </c>
      <c r="AS22">
        <v>2016</v>
      </c>
      <c r="AT22">
        <v>2017</v>
      </c>
      <c r="AU22">
        <v>2018</v>
      </c>
      <c r="AV22">
        <v>2019</v>
      </c>
      <c r="AW22">
        <v>2020</v>
      </c>
      <c r="AX22">
        <v>2021</v>
      </c>
      <c r="AY22">
        <v>2022</v>
      </c>
      <c r="AZ22">
        <v>2023</v>
      </c>
      <c r="BD22" s="29" t="s">
        <v>66</v>
      </c>
      <c r="BE22" s="29">
        <v>2013</v>
      </c>
      <c r="BF22" s="29">
        <v>2014</v>
      </c>
      <c r="BG22" s="29">
        <v>2015</v>
      </c>
      <c r="BH22" s="29">
        <v>2016</v>
      </c>
      <c r="BI22" s="29">
        <v>2017</v>
      </c>
      <c r="BJ22" s="29">
        <v>2018</v>
      </c>
      <c r="BK22" s="29">
        <v>2019</v>
      </c>
      <c r="BL22" s="29">
        <v>2020</v>
      </c>
      <c r="BM22" s="29">
        <v>2021</v>
      </c>
      <c r="BN22" s="29">
        <v>2022</v>
      </c>
      <c r="BO22" s="29">
        <v>2023</v>
      </c>
    </row>
    <row r="23" spans="1:67" ht="13.2" x14ac:dyDescent="0.25">
      <c r="J23" s="1" t="s">
        <v>40</v>
      </c>
      <c r="K23" s="1">
        <v>2018</v>
      </c>
      <c r="L23" s="1" t="s">
        <v>49</v>
      </c>
      <c r="M23" s="1">
        <v>140.80000000000001</v>
      </c>
      <c r="O23" s="4" t="s">
        <v>95</v>
      </c>
      <c r="P23" s="2"/>
      <c r="Q23" s="2">
        <v>5.6928246689068658E-2</v>
      </c>
      <c r="R23" s="2">
        <v>7.6055108783741818E-2</v>
      </c>
      <c r="S23" s="2">
        <v>4.8122146088660292E-2</v>
      </c>
      <c r="T23" s="2">
        <v>3.286300048239256E-2</v>
      </c>
      <c r="U23" s="2">
        <v>3.7022982466382644E-2</v>
      </c>
      <c r="V23" s="2">
        <v>4.0664671276705339E-2</v>
      </c>
      <c r="W23" s="2">
        <v>3.5287116929485315E-2</v>
      </c>
      <c r="Y23" s="4" t="s">
        <v>95</v>
      </c>
      <c r="Z23" s="2"/>
      <c r="AA23" s="2">
        <v>7.1122818570959383E-3</v>
      </c>
      <c r="AB23" s="2">
        <v>2.0270712090498882E-3</v>
      </c>
      <c r="AC23" s="2">
        <v>-6.5257113025260404E-5</v>
      </c>
      <c r="AD23" s="2">
        <v>-1.7946877243359654E-3</v>
      </c>
      <c r="AE23" s="2">
        <v>-1.4527148507731104E-2</v>
      </c>
      <c r="AF23" s="2">
        <v>6.7868349996351657E-3</v>
      </c>
      <c r="AG23" s="2">
        <v>7.3934473760511026E-3</v>
      </c>
      <c r="AH23" s="2">
        <v>4.7488847316158305E-3</v>
      </c>
      <c r="AI23" s="2">
        <v>7.4477227155544294E-3</v>
      </c>
      <c r="AJ23" s="2">
        <v>4.5493318168892969E-3</v>
      </c>
      <c r="AK23" s="2">
        <v>-2.9719784885365659E-3</v>
      </c>
      <c r="AO23" s="4" t="s">
        <v>68</v>
      </c>
      <c r="AP23" s="2"/>
      <c r="AQ23" s="2">
        <v>6.6495001514692495E-2</v>
      </c>
      <c r="AR23" s="2">
        <v>4.9069734412725406E-2</v>
      </c>
      <c r="AS23" s="2">
        <v>4.9482163406213947E-2</v>
      </c>
      <c r="AT23" s="2">
        <v>3.3281733746130131E-2</v>
      </c>
      <c r="AU23" s="2">
        <v>3.9513108614232476E-2</v>
      </c>
      <c r="AV23" s="2">
        <v>3.8961038961039161E-2</v>
      </c>
      <c r="AW23" s="2">
        <v>6.3795712484236794E-2</v>
      </c>
      <c r="AX23" s="2">
        <v>5.2668752988220886E-2</v>
      </c>
      <c r="AY23" s="2">
        <v>6.6219354838709665E-2</v>
      </c>
      <c r="AZ23" s="2">
        <v>3.1774615161196632E-2</v>
      </c>
      <c r="BD23" s="4" t="s">
        <v>68</v>
      </c>
      <c r="BE23" s="2"/>
      <c r="BF23" s="2">
        <v>6.6495001514692495E-2</v>
      </c>
      <c r="BG23" s="2">
        <v>4.9069734412725406E-2</v>
      </c>
      <c r="BH23" s="2">
        <v>4.9482163406213947E-2</v>
      </c>
      <c r="BI23" s="2">
        <v>3.3281733746130131E-2</v>
      </c>
      <c r="BJ23" s="2">
        <v>3.9513108614232476E-2</v>
      </c>
      <c r="BK23" s="2">
        <v>3.8961038961039161E-2</v>
      </c>
      <c r="BL23" s="2">
        <v>6.3795712484236794E-2</v>
      </c>
      <c r="BM23" s="2">
        <v>5.2668752988220886E-2</v>
      </c>
      <c r="BN23" s="2">
        <v>6.6219354838709665E-2</v>
      </c>
      <c r="BO23" s="2">
        <v>3.1774615161196632E-2</v>
      </c>
    </row>
    <row r="24" spans="1:67" ht="13.2" x14ac:dyDescent="0.25">
      <c r="J24" s="1" t="s">
        <v>40</v>
      </c>
      <c r="K24" s="1">
        <v>2018</v>
      </c>
      <c r="L24" s="1" t="s">
        <v>50</v>
      </c>
      <c r="M24" s="1">
        <v>140.80000000000001</v>
      </c>
      <c r="O24" s="4" t="s">
        <v>96</v>
      </c>
      <c r="P24" s="2"/>
      <c r="Q24" s="2">
        <v>5.5679137175598185E-2</v>
      </c>
      <c r="R24" s="2">
        <v>7.1004405848924187E-2</v>
      </c>
      <c r="S24" s="2">
        <v>3.3657989300986861E-3</v>
      </c>
      <c r="T24" s="2">
        <v>2.7938030725351577E-2</v>
      </c>
      <c r="U24" s="2">
        <v>0.10331798881742135</v>
      </c>
      <c r="V24" s="2">
        <v>0.10106355110808396</v>
      </c>
      <c r="W24" s="2">
        <v>3.9779215835553876E-2</v>
      </c>
      <c r="Y24" s="4" t="s">
        <v>96</v>
      </c>
      <c r="Z24" s="2"/>
      <c r="AA24" s="2">
        <v>7.407407407407347E-3</v>
      </c>
      <c r="AB24" s="2">
        <v>5.6306306306306876E-3</v>
      </c>
      <c r="AC24" s="2">
        <v>-1.3833080824702523E-4</v>
      </c>
      <c r="AD24" s="2">
        <v>3.840858033191025E-3</v>
      </c>
      <c r="AE24" s="2">
        <v>-2.5122725960150284E-2</v>
      </c>
      <c r="AF24" s="2">
        <v>5.035545023696522E-3</v>
      </c>
      <c r="AG24" s="2">
        <v>3.1682876510461125E-3</v>
      </c>
      <c r="AH24" s="2">
        <v>3.892765332354239E-3</v>
      </c>
      <c r="AI24" s="2">
        <v>7.1700321919814028E-3</v>
      </c>
      <c r="AJ24" s="2">
        <v>6.2472758971377678E-3</v>
      </c>
      <c r="AK24" s="2">
        <v>3.393011839445354E-3</v>
      </c>
      <c r="AO24" s="4" t="s">
        <v>70</v>
      </c>
      <c r="AP24" s="2"/>
      <c r="AQ24" s="2">
        <v>6.6158889650682368E-2</v>
      </c>
      <c r="AR24" s="2">
        <v>5.3396379356930319E-2</v>
      </c>
      <c r="AS24" s="2">
        <v>6.8567852214373462E-2</v>
      </c>
      <c r="AT24" s="2">
        <v>1.0446621890857941E-2</v>
      </c>
      <c r="AU24" s="2">
        <v>1.0842245798748328E-2</v>
      </c>
      <c r="AV24" s="2">
        <v>3.3901136817637033E-2</v>
      </c>
      <c r="AW24" s="2">
        <v>8.3840583009882425E-2</v>
      </c>
      <c r="AX24" s="2">
        <v>6.7086777988263263E-2</v>
      </c>
      <c r="AY24" s="2">
        <v>5.8104432320246445E-2</v>
      </c>
      <c r="AZ24" s="2">
        <v>2.0632573759407854E-2</v>
      </c>
      <c r="BD24" s="4" t="s">
        <v>70</v>
      </c>
      <c r="BE24" s="2"/>
      <c r="BF24" s="2">
        <v>6.6158889650682368E-2</v>
      </c>
      <c r="BG24" s="2">
        <v>5.3396379356930319E-2</v>
      </c>
      <c r="BH24" s="2">
        <v>6.8567852214373462E-2</v>
      </c>
      <c r="BI24" s="2">
        <v>1.0446621890857941E-2</v>
      </c>
      <c r="BJ24" s="2">
        <v>1.0842245798748328E-2</v>
      </c>
      <c r="BK24" s="2">
        <v>3.3901136817637033E-2</v>
      </c>
      <c r="BL24" s="2">
        <v>8.3840583009882425E-2</v>
      </c>
      <c r="BM24" s="2">
        <v>6.7086777988263263E-2</v>
      </c>
      <c r="BN24" s="2">
        <v>5.8104432320246445E-2</v>
      </c>
      <c r="BO24" s="2">
        <v>2.0632573759407854E-2</v>
      </c>
    </row>
    <row r="25" spans="1:67" ht="13.2" x14ac:dyDescent="0.25">
      <c r="J25" s="1" t="s">
        <v>40</v>
      </c>
      <c r="K25" s="1">
        <v>2018</v>
      </c>
      <c r="L25" s="1" t="s">
        <v>51</v>
      </c>
      <c r="M25" s="1">
        <v>140.1</v>
      </c>
      <c r="O25" s="4" t="s">
        <v>97</v>
      </c>
      <c r="P25" s="2"/>
      <c r="Q25" s="2">
        <v>4.0915668990922624E-2</v>
      </c>
      <c r="R25" s="2">
        <v>5.0872093023255668E-2</v>
      </c>
      <c r="S25" s="2">
        <v>4.1772587866760857E-2</v>
      </c>
      <c r="T25" s="2">
        <v>2.2764483627204193E-2</v>
      </c>
      <c r="U25" s="2">
        <v>5.0965120216728582E-2</v>
      </c>
      <c r="V25" s="2">
        <v>7.4378389989796401E-2</v>
      </c>
      <c r="W25" s="2">
        <v>4.5006498050584806E-2</v>
      </c>
      <c r="Y25" s="4" t="s">
        <v>97</v>
      </c>
      <c r="Z25" s="2"/>
      <c r="AA25" s="2">
        <v>3.8063439065107296E-3</v>
      </c>
      <c r="AB25" s="2">
        <v>2.6609898882382923E-3</v>
      </c>
      <c r="AC25" s="2">
        <v>-8.6473814578906152E-3</v>
      </c>
      <c r="AD25" s="2">
        <v>1.1754601226993632E-2</v>
      </c>
      <c r="AE25" s="2">
        <v>-1.7536200247398444E-2</v>
      </c>
      <c r="AF25" s="2">
        <v>4.2215968004739521E-3</v>
      </c>
      <c r="AG25" s="2">
        <v>6.5639058927646418E-3</v>
      </c>
      <c r="AH25" s="2">
        <v>3.4437280187573191E-3</v>
      </c>
      <c r="AI25" s="2">
        <v>5.2573932092006377E-3</v>
      </c>
      <c r="AJ25" s="2">
        <v>3.9950606522843237E-3</v>
      </c>
      <c r="AK25" s="2">
        <v>3.9791636521488306E-3</v>
      </c>
      <c r="AO25" s="4" t="s">
        <v>72</v>
      </c>
      <c r="AP25" s="2"/>
      <c r="AQ25" s="2">
        <v>7.5233680370848835E-2</v>
      </c>
      <c r="AR25" s="2">
        <v>5.8237331260159543E-2</v>
      </c>
      <c r="AS25" s="2">
        <v>5.0424096707406704E-2</v>
      </c>
      <c r="AT25" s="2">
        <v>4.3531705662936536E-2</v>
      </c>
      <c r="AU25" s="2">
        <v>4.5757341890410003E-2</v>
      </c>
      <c r="AV25" s="2">
        <v>1.7943118038280009E-2</v>
      </c>
      <c r="AW25" s="2">
        <v>2.5021333277832212E-2</v>
      </c>
      <c r="AX25" s="2">
        <v>6.2103546859644504E-2</v>
      </c>
      <c r="AY25" s="2">
        <v>0.10067819778139975</v>
      </c>
      <c r="AZ25" s="2">
        <v>5.1280091708062608E-2</v>
      </c>
      <c r="BD25" s="4" t="s">
        <v>72</v>
      </c>
      <c r="BE25" s="2"/>
      <c r="BF25" s="2">
        <v>7.5233680370848835E-2</v>
      </c>
      <c r="BG25" s="2">
        <v>5.8237331260159543E-2</v>
      </c>
      <c r="BH25" s="2">
        <v>5.0424096707406704E-2</v>
      </c>
      <c r="BI25" s="2">
        <v>4.3531705662936536E-2</v>
      </c>
      <c r="BJ25" s="2">
        <v>4.5757341890410003E-2</v>
      </c>
      <c r="BK25" s="2">
        <v>1.7943118038280009E-2</v>
      </c>
      <c r="BL25" s="2">
        <v>2.5021333277832212E-2</v>
      </c>
      <c r="BM25" s="2">
        <v>6.2103546859644504E-2</v>
      </c>
      <c r="BN25" s="2">
        <v>0.10067819778139975</v>
      </c>
      <c r="BO25" s="2">
        <v>5.1280091708062608E-2</v>
      </c>
    </row>
    <row r="26" spans="1:67" ht="13.2" x14ac:dyDescent="0.25">
      <c r="J26" s="1" t="s">
        <v>40</v>
      </c>
      <c r="K26" s="1">
        <v>2019</v>
      </c>
      <c r="L26" s="1" t="s">
        <v>37</v>
      </c>
      <c r="M26" s="1">
        <v>139.6</v>
      </c>
      <c r="O26" s="4" t="s">
        <v>98</v>
      </c>
      <c r="P26" s="2"/>
      <c r="Q26" s="2">
        <v>4.1541038525963074E-2</v>
      </c>
      <c r="R26" s="2">
        <v>6.2077838533290595E-2</v>
      </c>
      <c r="S26" s="2">
        <v>7.4588403722261901E-2</v>
      </c>
      <c r="T26" s="2">
        <v>4.353440324663347E-2</v>
      </c>
      <c r="U26" s="2">
        <v>7.492683597509478E-2</v>
      </c>
      <c r="V26" s="2">
        <v>6.0800964775639302E-2</v>
      </c>
      <c r="W26" s="2">
        <v>4.7946568139832335E-2</v>
      </c>
      <c r="Y26" s="4" t="s">
        <v>98</v>
      </c>
      <c r="Z26" s="2"/>
      <c r="AA26" s="2">
        <v>5.8494906342427535E-3</v>
      </c>
      <c r="AB26" s="2">
        <v>3.2671197072661673E-3</v>
      </c>
      <c r="AC26" s="2">
        <v>-2.4488732577832044E-3</v>
      </c>
      <c r="AD26" s="2">
        <v>3.0881930479749733E-3</v>
      </c>
      <c r="AE26" s="2">
        <v>-1.9474475549509752E-2</v>
      </c>
      <c r="AF26" s="2">
        <v>4.0160642570281962E-3</v>
      </c>
      <c r="AG26" s="2">
        <v>4.8000000000001817E-3</v>
      </c>
      <c r="AH26" s="2">
        <v>3.763752171395351E-3</v>
      </c>
      <c r="AI26" s="2">
        <v>6.8503028554945814E-3</v>
      </c>
      <c r="AJ26" s="2">
        <v>4.7267779130561131E-3</v>
      </c>
      <c r="AK26" s="2">
        <v>6.1301589564474552E-3</v>
      </c>
      <c r="AO26" s="4" t="s">
        <v>74</v>
      </c>
      <c r="AP26" s="2"/>
      <c r="AQ26" s="2">
        <v>6.2674700291943525E-2</v>
      </c>
      <c r="AR26" s="2">
        <v>4.3693009118540918E-2</v>
      </c>
      <c r="AS26" s="2">
        <v>4.1751841169387703E-2</v>
      </c>
      <c r="AT26" s="2">
        <v>4.7336164722326567E-2</v>
      </c>
      <c r="AU26" s="2">
        <v>6.132741318686985E-2</v>
      </c>
      <c r="AV26" s="2">
        <v>3.6261411039235851E-2</v>
      </c>
      <c r="AW26" s="2">
        <v>3.8587357755657872E-2</v>
      </c>
      <c r="AX26" s="2">
        <v>6.2867548681369748E-2</v>
      </c>
      <c r="AY26" s="2">
        <v>6.6496136649507681E-2</v>
      </c>
      <c r="AZ26" s="2">
        <v>3.485103768161911E-2</v>
      </c>
      <c r="BD26" s="4" t="s">
        <v>74</v>
      </c>
      <c r="BE26" s="2"/>
      <c r="BF26" s="2">
        <v>6.2674700291943525E-2</v>
      </c>
      <c r="BG26" s="2">
        <v>4.3693009118540918E-2</v>
      </c>
      <c r="BH26" s="2">
        <v>4.1751841169387703E-2</v>
      </c>
      <c r="BI26" s="2">
        <v>4.7336164722326567E-2</v>
      </c>
      <c r="BJ26" s="2">
        <v>6.132741318686985E-2</v>
      </c>
      <c r="BK26" s="2">
        <v>3.6261411039235851E-2</v>
      </c>
      <c r="BL26" s="2">
        <v>3.8587357755657872E-2</v>
      </c>
      <c r="BM26" s="2">
        <v>6.2867548681369748E-2</v>
      </c>
      <c r="BN26" s="2">
        <v>6.6496136649507681E-2</v>
      </c>
      <c r="BO26" s="2">
        <v>3.485103768161911E-2</v>
      </c>
    </row>
    <row r="27" spans="1:67" ht="13.2" x14ac:dyDescent="0.25">
      <c r="J27" s="1" t="s">
        <v>40</v>
      </c>
      <c r="K27" s="1">
        <v>2019</v>
      </c>
      <c r="L27" s="1" t="s">
        <v>41</v>
      </c>
      <c r="M27" s="1">
        <v>139.9</v>
      </c>
      <c r="O27" s="4" t="s">
        <v>99</v>
      </c>
      <c r="P27" s="2"/>
      <c r="Q27" s="2">
        <v>3.4761519805982181E-2</v>
      </c>
      <c r="R27" s="2">
        <v>4.9360795454545497E-2</v>
      </c>
      <c r="S27" s="2">
        <v>2.0027688047992636E-2</v>
      </c>
      <c r="T27" s="2">
        <v>8.3597538906985167E-2</v>
      </c>
      <c r="U27" s="2">
        <v>0.10631444877164621</v>
      </c>
      <c r="V27" s="2">
        <v>6.9961808822715438E-2</v>
      </c>
      <c r="W27" s="2">
        <v>1.9667890952356427E-2</v>
      </c>
      <c r="Y27" s="4" t="s">
        <v>99</v>
      </c>
      <c r="Z27" s="2"/>
      <c r="AA27" s="2">
        <v>4.6867113706830646E-3</v>
      </c>
      <c r="AB27" s="2">
        <v>3.8036457585759382E-3</v>
      </c>
      <c r="AC27" s="2">
        <v>5.1635248603862675E-3</v>
      </c>
      <c r="AD27" s="2">
        <v>2.495001304007679E-3</v>
      </c>
      <c r="AE27" s="2">
        <v>-2.0057753843752274E-2</v>
      </c>
      <c r="AF27" s="2">
        <v>4.8582351067217675E-3</v>
      </c>
      <c r="AG27" s="2">
        <v>4.5177141951332706E-3</v>
      </c>
      <c r="AH27" s="2">
        <v>5.0497080637527947E-3</v>
      </c>
      <c r="AI27" s="2">
        <v>2.2766525357199425E-3</v>
      </c>
      <c r="AJ27" s="2">
        <v>-4.6996161980095608E-4</v>
      </c>
      <c r="AK27" s="2">
        <v>2.3509129378575123E-3</v>
      </c>
      <c r="AO27" s="4" t="s">
        <v>77</v>
      </c>
      <c r="AP27" s="2"/>
      <c r="AQ27" s="2">
        <v>4.7306072651422788E-2</v>
      </c>
      <c r="AR27" s="2">
        <v>4.1599338619367772E-2</v>
      </c>
      <c r="AS27" s="2">
        <v>5.61728840464681E-2</v>
      </c>
      <c r="AT27" s="2">
        <v>3.986336464560214E-2</v>
      </c>
      <c r="AU27" s="2">
        <v>5.4694172524801139E-2</v>
      </c>
      <c r="AV27" s="2">
        <v>6.3081684254637185E-2</v>
      </c>
      <c r="AW27" s="2">
        <v>7.5683968294553733E-2</v>
      </c>
      <c r="AX27" s="2">
        <v>6.0855914745265846E-2</v>
      </c>
      <c r="AY27" s="2">
        <v>6.4338896020539313E-2</v>
      </c>
      <c r="AZ27" s="2">
        <v>6.0362794287919609E-2</v>
      </c>
      <c r="BD27" s="4" t="s">
        <v>77</v>
      </c>
      <c r="BE27" s="2"/>
      <c r="BF27" s="2">
        <v>4.7306072651422788E-2</v>
      </c>
      <c r="BG27" s="2">
        <v>4.1599338619367772E-2</v>
      </c>
      <c r="BH27" s="2">
        <v>5.61728840464681E-2</v>
      </c>
      <c r="BI27" s="2">
        <v>3.986336464560214E-2</v>
      </c>
      <c r="BJ27" s="2">
        <v>5.4694172524801139E-2</v>
      </c>
      <c r="BK27" s="2">
        <v>6.3081684254637185E-2</v>
      </c>
      <c r="BL27" s="2">
        <v>7.5683968294553733E-2</v>
      </c>
      <c r="BM27" s="2">
        <v>6.0855914745265846E-2</v>
      </c>
      <c r="BN27" s="2">
        <v>6.4338896020539313E-2</v>
      </c>
      <c r="BO27" s="2">
        <v>6.0362794287919609E-2</v>
      </c>
    </row>
    <row r="28" spans="1:67" ht="13.2" x14ac:dyDescent="0.25">
      <c r="J28" s="1" t="s">
        <v>40</v>
      </c>
      <c r="K28" s="1">
        <v>2019</v>
      </c>
      <c r="L28" s="1" t="s">
        <v>42</v>
      </c>
      <c r="M28" s="1">
        <v>140.4</v>
      </c>
      <c r="O28" s="4" t="s">
        <v>100</v>
      </c>
      <c r="P28" s="2"/>
      <c r="Q28" s="2">
        <v>3.6799344575681091E-2</v>
      </c>
      <c r="R28" s="2">
        <v>5.1428947715000936E-2</v>
      </c>
      <c r="S28" s="2">
        <v>5.155519622858476E-2</v>
      </c>
      <c r="T28" s="2">
        <v>4.5110779026703927E-2</v>
      </c>
      <c r="U28" s="2">
        <v>6.4077138754017673E-2</v>
      </c>
      <c r="V28" s="2">
        <v>6.4856469580119799E-2</v>
      </c>
      <c r="W28" s="2">
        <v>2.8416234974601651E-2</v>
      </c>
      <c r="Y28" s="4" t="s">
        <v>100</v>
      </c>
      <c r="Z28" s="2"/>
      <c r="AA28" s="2">
        <v>4.7925510064356332E-3</v>
      </c>
      <c r="AB28" s="2">
        <v>3.8838920686838675E-3</v>
      </c>
      <c r="AC28" s="2">
        <v>-7.1570246687334286E-3</v>
      </c>
      <c r="AD28" s="2">
        <v>9.6423796791446654E-3</v>
      </c>
      <c r="AE28" s="2">
        <v>-1.4821987189036052E-2</v>
      </c>
      <c r="AF28" s="2">
        <v>3.9313525364782767E-3</v>
      </c>
      <c r="AG28" s="2">
        <v>3.0875818962268855E-3</v>
      </c>
      <c r="AH28" s="2">
        <v>4.0540540540542078E-3</v>
      </c>
      <c r="AI28" s="2">
        <v>4.5610886795273307E-3</v>
      </c>
      <c r="AJ28" s="2">
        <v>4.6148120580573474E-3</v>
      </c>
      <c r="AK28" s="2">
        <v>2.2968066977847095E-3</v>
      </c>
      <c r="AO28" s="4" t="s">
        <v>79</v>
      </c>
      <c r="AP28" s="2"/>
      <c r="AQ28" s="2">
        <v>6.3652110964606101E-2</v>
      </c>
      <c r="AR28" s="2">
        <v>5.8530419775892482E-2</v>
      </c>
      <c r="AS28" s="2">
        <v>5.4031091414268873E-2</v>
      </c>
      <c r="AT28" s="2">
        <v>4.8516404513964703E-2</v>
      </c>
      <c r="AU28" s="2">
        <v>5.8550977581084206E-2</v>
      </c>
      <c r="AV28" s="2">
        <v>4.7762648170915592E-2</v>
      </c>
      <c r="AW28" s="2">
        <v>6.4975884901496084E-2</v>
      </c>
      <c r="AX28" s="2">
        <v>6.3575660348151472E-2</v>
      </c>
      <c r="AY28" s="2">
        <v>4.8360154143856304E-2</v>
      </c>
      <c r="AZ28" s="2">
        <v>3.0810734062189479E-2</v>
      </c>
      <c r="BD28" s="4" t="s">
        <v>79</v>
      </c>
      <c r="BE28" s="2"/>
      <c r="BF28" s="2">
        <v>6.3652110964606101E-2</v>
      </c>
      <c r="BG28" s="2">
        <v>5.8530419775892482E-2</v>
      </c>
      <c r="BH28" s="2">
        <v>5.4031091414268873E-2</v>
      </c>
      <c r="BI28" s="2">
        <v>4.8516404513964703E-2</v>
      </c>
      <c r="BJ28" s="2">
        <v>5.8550977581084206E-2</v>
      </c>
      <c r="BK28" s="2">
        <v>4.7762648170915592E-2</v>
      </c>
      <c r="BL28" s="2">
        <v>6.4975884901496084E-2</v>
      </c>
      <c r="BM28" s="2">
        <v>6.3575660348151472E-2</v>
      </c>
      <c r="BN28" s="2">
        <v>4.8360154143856304E-2</v>
      </c>
      <c r="BO28" s="2">
        <v>3.0810734062189479E-2</v>
      </c>
    </row>
    <row r="29" spans="1:67" ht="13.2" x14ac:dyDescent="0.25">
      <c r="J29" s="1" t="s">
        <v>40</v>
      </c>
      <c r="K29" s="1">
        <v>2019</v>
      </c>
      <c r="L29" s="1" t="s">
        <v>44</v>
      </c>
      <c r="M29" s="1">
        <v>142</v>
      </c>
      <c r="O29" s="4" t="s">
        <v>101</v>
      </c>
      <c r="P29" s="2"/>
      <c r="Q29" s="2">
        <v>4.7295129307578877E-2</v>
      </c>
      <c r="R29" s="2">
        <v>5.8026960784313616E-2</v>
      </c>
      <c r="S29" s="2">
        <v>6.4942586225959137E-2</v>
      </c>
      <c r="T29" s="2">
        <v>2.6975557664926389E-2</v>
      </c>
      <c r="U29" s="2">
        <v>3.0162462138061251E-2</v>
      </c>
      <c r="V29" s="2">
        <v>4.754806209519899E-2</v>
      </c>
      <c r="W29" s="2">
        <v>3.3770057412041719E-2</v>
      </c>
      <c r="Y29" s="4" t="s">
        <v>101</v>
      </c>
      <c r="Z29" s="2"/>
      <c r="AA29" s="2">
        <v>1.820546163849329E-3</v>
      </c>
      <c r="AB29" s="2">
        <v>2.2066458982347055E-3</v>
      </c>
      <c r="AC29" s="2">
        <v>-1.3879894659586542E-2</v>
      </c>
      <c r="AD29" s="2">
        <v>1.3628702143029267E-2</v>
      </c>
      <c r="AE29" s="2">
        <v>-7.4116305587228629E-3</v>
      </c>
      <c r="AF29" s="2">
        <v>1.0626076967260121E-2</v>
      </c>
      <c r="AG29" s="2">
        <v>7.2463768115942758E-3</v>
      </c>
      <c r="AH29" s="2">
        <v>1.4106361969249334E-3</v>
      </c>
      <c r="AI29" s="2">
        <v>3.5216227637695444E-3</v>
      </c>
      <c r="AJ29" s="2">
        <v>2.1055586749014212E-3</v>
      </c>
      <c r="AK29" s="2">
        <v>3.2917775598823289E-3</v>
      </c>
    </row>
    <row r="30" spans="1:67" ht="13.2" x14ac:dyDescent="0.25">
      <c r="J30" s="1" t="s">
        <v>40</v>
      </c>
      <c r="K30" s="1">
        <v>2019</v>
      </c>
      <c r="L30" s="1" t="s">
        <v>45</v>
      </c>
      <c r="M30" s="1">
        <v>142.9</v>
      </c>
      <c r="O30" s="4" t="s">
        <v>102</v>
      </c>
      <c r="P30" s="2"/>
      <c r="Q30" s="2">
        <v>3.8118466898954741E-2</v>
      </c>
      <c r="R30" s="2">
        <v>4.6989326710076162E-2</v>
      </c>
      <c r="S30" s="2">
        <v>5.0901397121823962E-2</v>
      </c>
      <c r="T30" s="2">
        <v>0.11120133111480884</v>
      </c>
      <c r="U30" s="2">
        <v>4.586682479026627E-2</v>
      </c>
      <c r="V30" s="2">
        <v>6.803506745760958E-2</v>
      </c>
      <c r="W30" s="2">
        <v>7.3246497911034575E-2</v>
      </c>
      <c r="Y30" s="4" t="s">
        <v>102</v>
      </c>
      <c r="Z30" s="2"/>
      <c r="AA30" s="2">
        <v>6.5735414954804913E-3</v>
      </c>
      <c r="AB30" s="2">
        <v>2.0408163265306705E-3</v>
      </c>
      <c r="AC30" s="2">
        <v>-2.4741645922910205E-3</v>
      </c>
      <c r="AD30" s="2">
        <v>4.2089502578608754E-3</v>
      </c>
      <c r="AE30" s="2">
        <v>-2.273743849709246E-2</v>
      </c>
      <c r="AF30" s="2">
        <v>3.585323060492565E-3</v>
      </c>
      <c r="AG30" s="2">
        <v>9.1213134691396861E-3</v>
      </c>
      <c r="AH30" s="2">
        <v>7.3817414883998282E-3</v>
      </c>
      <c r="AI30" s="2">
        <v>2.7665619859429088E-3</v>
      </c>
      <c r="AJ30" s="2">
        <v>3.206323167549078E-3</v>
      </c>
      <c r="AK30" s="2">
        <v>1.2635647391109521E-3</v>
      </c>
    </row>
    <row r="31" spans="1:67" ht="13.2" x14ac:dyDescent="0.25">
      <c r="A31" s="3" t="s">
        <v>0</v>
      </c>
      <c r="B31" t="s">
        <v>40</v>
      </c>
      <c r="J31" s="1" t="s">
        <v>40</v>
      </c>
      <c r="K31" s="1">
        <v>2019</v>
      </c>
      <c r="L31" s="1" t="s">
        <v>46</v>
      </c>
      <c r="M31" s="1">
        <v>144.19999999999999</v>
      </c>
      <c r="O31" s="4" t="s">
        <v>103</v>
      </c>
      <c r="P31" s="2"/>
      <c r="Q31" s="2">
        <v>3.9876458476321347E-2</v>
      </c>
      <c r="R31" s="2">
        <v>5.3527819945878102E-2</v>
      </c>
      <c r="S31" s="2">
        <v>4.8399038625827465E-2</v>
      </c>
      <c r="T31" s="2">
        <v>5.8481095176010224E-2</v>
      </c>
      <c r="U31" s="2">
        <v>6.7734796648827075E-2</v>
      </c>
      <c r="V31" s="2">
        <v>6.4558769100618502E-2</v>
      </c>
      <c r="W31" s="2">
        <v>3.9078176219330518E-2</v>
      </c>
      <c r="Y31" s="4" t="s">
        <v>103</v>
      </c>
      <c r="Z31" s="2"/>
      <c r="AA31" s="2">
        <v>4.5634109794302777E-3</v>
      </c>
      <c r="AB31" s="2">
        <v>3.0510543087668898E-3</v>
      </c>
      <c r="AC31" s="2">
        <v>-5.3024499421686451E-3</v>
      </c>
      <c r="AD31" s="2">
        <v>8.3887043189369674E-3</v>
      </c>
      <c r="AE31" s="2">
        <v>-1.7494440326167423E-2</v>
      </c>
      <c r="AF31" s="2">
        <v>5.205975554549552E-3</v>
      </c>
      <c r="AG31" s="2">
        <v>5.7044209262175367E-3</v>
      </c>
      <c r="AH31" s="2">
        <v>4.2540488096128194E-3</v>
      </c>
      <c r="AI31" s="2">
        <v>4.2360285374555707E-3</v>
      </c>
      <c r="AJ31" s="2">
        <v>2.4420927995260533E-3</v>
      </c>
      <c r="AK31" s="2">
        <v>3.3220138786358862E-3</v>
      </c>
    </row>
    <row r="32" spans="1:67" ht="13.2" x14ac:dyDescent="0.25">
      <c r="J32" s="1" t="s">
        <v>40</v>
      </c>
      <c r="K32" s="1">
        <v>2019</v>
      </c>
      <c r="L32" s="1" t="s">
        <v>47</v>
      </c>
      <c r="M32" s="1">
        <v>145</v>
      </c>
      <c r="O32" s="4" t="s">
        <v>104</v>
      </c>
      <c r="P32" s="2"/>
      <c r="Q32" s="2">
        <v>3.3281733746129902E-2</v>
      </c>
      <c r="R32" s="2">
        <v>3.9513108614232476E-2</v>
      </c>
      <c r="S32" s="2">
        <v>3.8961038961039161E-2</v>
      </c>
      <c r="T32" s="2">
        <v>6.3795712484236794E-2</v>
      </c>
      <c r="U32" s="2">
        <v>5.2668752988220886E-2</v>
      </c>
      <c r="V32" s="2">
        <v>6.6219354838709665E-2</v>
      </c>
      <c r="W32" s="2">
        <v>3.1774615161196632E-2</v>
      </c>
      <c r="Y32" s="4" t="s">
        <v>104</v>
      </c>
      <c r="Z32" s="2"/>
      <c r="AA32" s="2">
        <v>0</v>
      </c>
      <c r="AB32" s="2">
        <v>2.301874383426673E-3</v>
      </c>
      <c r="AC32" s="2">
        <v>-2.8142315543892783E-3</v>
      </c>
      <c r="AD32" s="2">
        <v>9.9485282290495223E-3</v>
      </c>
      <c r="AE32" s="2">
        <v>-1.2255428940012957E-2</v>
      </c>
      <c r="AF32" s="2">
        <v>9.1423595994775137E-3</v>
      </c>
      <c r="AG32" s="2">
        <v>7.1901064135749216E-3</v>
      </c>
      <c r="AH32" s="2">
        <v>2.6413478012566605E-3</v>
      </c>
      <c r="AI32" s="2">
        <v>7.5471698113205674E-3</v>
      </c>
      <c r="AJ32" s="2">
        <v>5.4413115680871336E-3</v>
      </c>
      <c r="AK32" s="2">
        <v>-2.7410739387125019E-3</v>
      </c>
    </row>
    <row r="33" spans="1:47" ht="13.2" x14ac:dyDescent="0.25">
      <c r="A33" s="3" t="s">
        <v>61</v>
      </c>
      <c r="B33" t="s">
        <v>62</v>
      </c>
      <c r="C33" t="s">
        <v>105</v>
      </c>
      <c r="J33" s="1" t="s">
        <v>40</v>
      </c>
      <c r="K33" s="1">
        <v>2019</v>
      </c>
      <c r="L33" s="1" t="s">
        <v>48</v>
      </c>
      <c r="M33" s="1">
        <v>145.80000000000001</v>
      </c>
    </row>
    <row r="34" spans="1:47" ht="13.2" x14ac:dyDescent="0.25">
      <c r="A34" s="4">
        <v>2016</v>
      </c>
      <c r="B34">
        <v>129.19999999999999</v>
      </c>
      <c r="C34">
        <v>1550.3999999999999</v>
      </c>
      <c r="J34" s="1" t="s">
        <v>40</v>
      </c>
      <c r="K34" s="1">
        <v>2019</v>
      </c>
      <c r="L34" s="1" t="s">
        <v>49</v>
      </c>
      <c r="M34" s="1">
        <v>147.19999999999999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3.2" x14ac:dyDescent="0.25">
      <c r="A35" s="4">
        <v>2017</v>
      </c>
      <c r="B35">
        <v>133.49999999999997</v>
      </c>
      <c r="C35">
        <v>1601.9999999999998</v>
      </c>
      <c r="D35" s="2">
        <f>(B35-B34)/B34</f>
        <v>3.3281733746129902E-2</v>
      </c>
      <c r="E35" s="2">
        <f>(C35-C34)/C34</f>
        <v>3.3281733746129978E-2</v>
      </c>
      <c r="J35" s="1" t="s">
        <v>40</v>
      </c>
      <c r="K35" s="1">
        <v>2019</v>
      </c>
      <c r="L35" s="1" t="s">
        <v>50</v>
      </c>
      <c r="M35" s="1">
        <v>148.6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3.2" x14ac:dyDescent="0.25">
      <c r="A36" s="4">
        <v>2018</v>
      </c>
      <c r="B36">
        <v>138.77500000000001</v>
      </c>
      <c r="C36">
        <v>1665.3</v>
      </c>
      <c r="D36" s="2">
        <f t="shared" ref="D36:E40" si="2">(B36-B35)/B35</f>
        <v>3.9513108614232476E-2</v>
      </c>
      <c r="E36" s="2">
        <f t="shared" si="2"/>
        <v>3.951310861423233E-2</v>
      </c>
      <c r="J36" s="1" t="s">
        <v>40</v>
      </c>
      <c r="K36" s="1">
        <v>2019</v>
      </c>
      <c r="L36" s="1" t="s">
        <v>51</v>
      </c>
      <c r="M36" s="1">
        <v>150.4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3.2" x14ac:dyDescent="0.25">
      <c r="A37" s="4">
        <v>2019</v>
      </c>
      <c r="B37">
        <v>144.18181818181822</v>
      </c>
      <c r="C37">
        <v>1586.0000000000002</v>
      </c>
      <c r="D37" s="2">
        <f t="shared" si="2"/>
        <v>3.8961038961039161E-2</v>
      </c>
      <c r="E37" s="2">
        <f t="shared" si="2"/>
        <v>-4.7619047619047457E-2</v>
      </c>
      <c r="J37" s="1" t="s">
        <v>40</v>
      </c>
      <c r="K37" s="1">
        <v>2020</v>
      </c>
      <c r="L37" s="1" t="s">
        <v>37</v>
      </c>
      <c r="M37" s="1">
        <v>150.19999999999999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3.2" x14ac:dyDescent="0.25">
      <c r="A38" s="4">
        <v>2020</v>
      </c>
      <c r="B38">
        <v>153.38</v>
      </c>
      <c r="C38">
        <v>1533.8</v>
      </c>
      <c r="D38" s="2">
        <f t="shared" si="2"/>
        <v>6.3795712484236794E-2</v>
      </c>
      <c r="E38" s="2">
        <f t="shared" si="2"/>
        <v>-3.2912988650693739E-2</v>
      </c>
      <c r="J38" s="1" t="s">
        <v>40</v>
      </c>
      <c r="K38" s="1">
        <v>2020</v>
      </c>
      <c r="L38" s="1" t="s">
        <v>41</v>
      </c>
      <c r="M38" s="1">
        <v>149.1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3.2" x14ac:dyDescent="0.25">
      <c r="A39" s="4">
        <v>2021</v>
      </c>
      <c r="B39">
        <v>161.45833333333331</v>
      </c>
      <c r="C39">
        <v>1937.4999999999998</v>
      </c>
      <c r="D39" s="2">
        <f t="shared" si="2"/>
        <v>5.2668752988220886E-2</v>
      </c>
      <c r="E39" s="2">
        <f t="shared" si="2"/>
        <v>0.26320250358586506</v>
      </c>
      <c r="J39" s="1" t="s">
        <v>40</v>
      </c>
      <c r="K39" s="1">
        <v>2020</v>
      </c>
      <c r="L39" s="1" t="s">
        <v>42</v>
      </c>
      <c r="M39" s="1">
        <v>148.6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3.2" x14ac:dyDescent="0.25">
      <c r="A40" s="4">
        <v>2022</v>
      </c>
      <c r="B40">
        <v>172.14999999999998</v>
      </c>
      <c r="C40">
        <v>2065.7999999999997</v>
      </c>
      <c r="D40" s="2">
        <f t="shared" si="2"/>
        <v>6.6219354838709665E-2</v>
      </c>
      <c r="E40" s="2">
        <f t="shared" si="2"/>
        <v>6.6219354838709665E-2</v>
      </c>
      <c r="J40" s="1" t="s">
        <v>40</v>
      </c>
      <c r="K40" s="1">
        <v>2020</v>
      </c>
      <c r="L40" s="1" t="s">
        <v>43</v>
      </c>
      <c r="M40" s="1" t="s">
        <v>38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3.2" x14ac:dyDescent="0.25">
      <c r="A41" s="4" t="s">
        <v>80</v>
      </c>
      <c r="B41">
        <v>147.41728395061727</v>
      </c>
      <c r="C41">
        <v>11940.8</v>
      </c>
      <c r="D41" s="2"/>
      <c r="J41" s="1" t="s">
        <v>40</v>
      </c>
      <c r="K41" s="1">
        <v>2020</v>
      </c>
      <c r="L41" s="1" t="s">
        <v>44</v>
      </c>
      <c r="M41" s="1" t="s">
        <v>38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3.2" x14ac:dyDescent="0.25">
      <c r="J42" s="1" t="s">
        <v>40</v>
      </c>
      <c r="K42" s="1">
        <v>2020</v>
      </c>
      <c r="L42" s="1" t="s">
        <v>45</v>
      </c>
      <c r="M42" s="1">
        <v>151.80000000000001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3.2" x14ac:dyDescent="0.25">
      <c r="J43" s="1" t="s">
        <v>40</v>
      </c>
      <c r="K43" s="1">
        <v>2020</v>
      </c>
      <c r="L43" s="1" t="s">
        <v>46</v>
      </c>
      <c r="M43" s="1">
        <v>151.80000000000001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3.2" x14ac:dyDescent="0.25">
      <c r="J44" s="1" t="s">
        <v>40</v>
      </c>
      <c r="K44" s="1">
        <v>2020</v>
      </c>
      <c r="L44" s="1" t="s">
        <v>47</v>
      </c>
      <c r="M44" s="1">
        <v>153.9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3.2" x14ac:dyDescent="0.25">
      <c r="J45" s="1" t="s">
        <v>40</v>
      </c>
      <c r="K45" s="1">
        <v>2020</v>
      </c>
      <c r="L45" s="1" t="s">
        <v>48</v>
      </c>
      <c r="M45" s="1">
        <v>154.69999999999999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3.2" x14ac:dyDescent="0.25">
      <c r="A46" s="3" t="s">
        <v>0</v>
      </c>
      <c r="B46" t="s">
        <v>40</v>
      </c>
      <c r="J46" s="1" t="s">
        <v>40</v>
      </c>
      <c r="K46" s="1">
        <v>2020</v>
      </c>
      <c r="L46" s="1" t="s">
        <v>49</v>
      </c>
      <c r="M46" s="1">
        <v>156.4</v>
      </c>
      <c r="AF46" s="1"/>
      <c r="AG46" s="1"/>
      <c r="AH46" s="1"/>
      <c r="AI46" s="1"/>
      <c r="AJ46" s="1"/>
      <c r="AK46" s="1"/>
      <c r="AL46" s="1"/>
      <c r="AM46" s="1"/>
      <c r="AN46" s="1"/>
      <c r="AO46" s="29" t="s">
        <v>61</v>
      </c>
      <c r="AP46" s="29" t="s">
        <v>62</v>
      </c>
      <c r="AQ46" s="29" t="s">
        <v>63</v>
      </c>
      <c r="AR46" s="1"/>
      <c r="AS46" s="1"/>
      <c r="AT46" s="1"/>
      <c r="AU46" s="1"/>
    </row>
    <row r="47" spans="1:47" ht="13.2" x14ac:dyDescent="0.25">
      <c r="J47" s="1" t="s">
        <v>40</v>
      </c>
      <c r="K47" s="1">
        <v>2020</v>
      </c>
      <c r="L47" s="1" t="s">
        <v>50</v>
      </c>
      <c r="M47" s="1">
        <v>158.4</v>
      </c>
      <c r="AF47" s="1"/>
      <c r="AG47" s="1"/>
      <c r="AH47" s="1"/>
      <c r="AI47" s="1"/>
      <c r="AJ47" s="1"/>
      <c r="AK47" s="1"/>
      <c r="AL47" s="1"/>
      <c r="AM47" s="1"/>
      <c r="AN47" s="1"/>
      <c r="AO47" s="4">
        <v>2016</v>
      </c>
      <c r="AP47" s="6">
        <v>129.19999999999999</v>
      </c>
      <c r="AQ47" s="2"/>
      <c r="AR47" s="1"/>
      <c r="AS47" s="1"/>
      <c r="AT47" s="1"/>
      <c r="AU47" s="1"/>
    </row>
    <row r="48" spans="1:47" ht="13.2" x14ac:dyDescent="0.25">
      <c r="A48" s="3" t="s">
        <v>62</v>
      </c>
      <c r="B48" s="3" t="s">
        <v>106</v>
      </c>
      <c r="J48" s="1" t="s">
        <v>40</v>
      </c>
      <c r="K48" s="1">
        <v>2020</v>
      </c>
      <c r="L48" s="1" t="s">
        <v>51</v>
      </c>
      <c r="M48" s="1">
        <v>158.9</v>
      </c>
      <c r="O48" s="29" t="s">
        <v>66</v>
      </c>
      <c r="P48" s="29">
        <v>2016</v>
      </c>
      <c r="Q48" s="29">
        <v>2017</v>
      </c>
      <c r="R48" s="29">
        <v>2018</v>
      </c>
      <c r="S48" s="29">
        <v>2019</v>
      </c>
      <c r="T48" s="29">
        <v>2020</v>
      </c>
      <c r="U48" s="29">
        <v>2021</v>
      </c>
      <c r="V48" s="29">
        <v>2022</v>
      </c>
      <c r="W48" s="29">
        <v>2023</v>
      </c>
      <c r="Y48" s="29" t="s">
        <v>66</v>
      </c>
      <c r="Z48" s="29">
        <v>2022</v>
      </c>
      <c r="AF48" s="1"/>
      <c r="AG48" s="1"/>
      <c r="AH48" s="1"/>
      <c r="AI48" s="1"/>
      <c r="AJ48" s="1"/>
      <c r="AK48" s="1"/>
      <c r="AL48" s="1"/>
      <c r="AM48" s="1"/>
      <c r="AN48" s="1"/>
      <c r="AO48" s="4">
        <v>2017</v>
      </c>
      <c r="AP48" s="6">
        <v>133.49999999999997</v>
      </c>
      <c r="AQ48" s="2">
        <v>3.3281733746129902E-2</v>
      </c>
      <c r="AR48" s="1"/>
      <c r="AS48" s="1"/>
      <c r="AT48" s="1"/>
      <c r="AU48" s="1"/>
    </row>
    <row r="49" spans="1:47" ht="13.2" x14ac:dyDescent="0.25">
      <c r="A49" s="3" t="s">
        <v>61</v>
      </c>
      <c r="B49">
        <v>2017</v>
      </c>
      <c r="C49">
        <v>2018</v>
      </c>
      <c r="D49">
        <v>2019</v>
      </c>
      <c r="E49">
        <v>2020</v>
      </c>
      <c r="F49">
        <v>2021</v>
      </c>
      <c r="G49">
        <v>2022</v>
      </c>
      <c r="H49" t="s">
        <v>80</v>
      </c>
      <c r="J49" s="1" t="s">
        <v>40</v>
      </c>
      <c r="K49" s="1">
        <v>2021</v>
      </c>
      <c r="L49" s="1" t="s">
        <v>37</v>
      </c>
      <c r="M49" s="1">
        <v>157.30000000000001</v>
      </c>
      <c r="O49" s="4" t="s">
        <v>67</v>
      </c>
      <c r="P49" s="2"/>
      <c r="Q49" s="2">
        <v>4.267185473411144E-2</v>
      </c>
      <c r="R49" s="2">
        <v>2.2950615748227734E-2</v>
      </c>
      <c r="S49" s="2">
        <v>1.9870990564733862E-2</v>
      </c>
      <c r="T49" s="2">
        <v>5.3394901144640829E-2</v>
      </c>
      <c r="U49" s="2">
        <v>-7.0434854191105001E-3</v>
      </c>
      <c r="V49" s="2">
        <v>8.0022798518096447E-2</v>
      </c>
      <c r="W49" s="2">
        <v>0.10203176948651634</v>
      </c>
      <c r="Y49" s="4" t="s">
        <v>87</v>
      </c>
      <c r="Z49" s="2">
        <v>0.1286610878661088</v>
      </c>
      <c r="AF49" s="1"/>
      <c r="AG49" s="1"/>
      <c r="AH49" s="1"/>
      <c r="AI49" s="1"/>
      <c r="AJ49" s="1"/>
      <c r="AK49" s="1"/>
      <c r="AL49" s="1"/>
      <c r="AM49" s="1"/>
      <c r="AN49" s="1"/>
      <c r="AO49" s="4">
        <v>2018</v>
      </c>
      <c r="AP49" s="6">
        <v>138.77500000000001</v>
      </c>
      <c r="AQ49" s="2">
        <v>3.9513108614232476E-2</v>
      </c>
      <c r="AR49" s="1"/>
      <c r="AS49" s="1"/>
      <c r="AT49" s="1"/>
      <c r="AU49" s="1"/>
    </row>
    <row r="50" spans="1:47" ht="13.2" x14ac:dyDescent="0.25">
      <c r="A50" s="4" t="s">
        <v>37</v>
      </c>
      <c r="B50" s="2"/>
      <c r="C50" s="2"/>
      <c r="D50" s="2"/>
      <c r="E50" s="2"/>
      <c r="F50" s="2"/>
      <c r="G50" s="2"/>
      <c r="H50" s="2"/>
      <c r="J50" s="1" t="s">
        <v>40</v>
      </c>
      <c r="K50" s="1">
        <v>2021</v>
      </c>
      <c r="L50" s="1" t="s">
        <v>41</v>
      </c>
      <c r="M50" s="1">
        <v>156.6</v>
      </c>
      <c r="O50" s="4" t="s">
        <v>69</v>
      </c>
      <c r="P50" s="2"/>
      <c r="Q50" s="2">
        <v>3.0455316057157091E-2</v>
      </c>
      <c r="R50" s="2">
        <v>3.5959809624537035E-2</v>
      </c>
      <c r="S50" s="2">
        <v>8.2989156496047933E-2</v>
      </c>
      <c r="T50" s="2">
        <v>0.15398503113751927</v>
      </c>
      <c r="U50" s="2">
        <v>8.4259158406854717E-2</v>
      </c>
      <c r="V50" s="2">
        <v>5.3199949771880493E-2</v>
      </c>
      <c r="W50" s="2">
        <v>1.224068039106696E-3</v>
      </c>
      <c r="Y50" s="4" t="s">
        <v>93</v>
      </c>
      <c r="Z50" s="2">
        <v>0.11443248264932521</v>
      </c>
      <c r="AF50" s="1"/>
      <c r="AG50" s="1"/>
      <c r="AH50" s="1"/>
      <c r="AI50" s="1"/>
      <c r="AJ50" s="1"/>
      <c r="AK50" s="1"/>
      <c r="AL50" s="1"/>
      <c r="AM50" s="1"/>
      <c r="AN50" s="1"/>
      <c r="AO50" s="4">
        <v>2019</v>
      </c>
      <c r="AP50" s="6">
        <v>144.18181818181822</v>
      </c>
      <c r="AQ50" s="2">
        <v>3.8961038961039161E-2</v>
      </c>
      <c r="AR50" s="1"/>
      <c r="AS50" s="1"/>
      <c r="AT50" s="1"/>
      <c r="AU50" s="1"/>
    </row>
    <row r="51" spans="1:47" ht="13.2" x14ac:dyDescent="0.25">
      <c r="A51" s="4" t="s">
        <v>41</v>
      </c>
      <c r="B51" s="2">
        <v>2.3023791250958016E-3</v>
      </c>
      <c r="C51" s="2">
        <v>-3.6523009495982466E-3</v>
      </c>
      <c r="D51" s="2">
        <v>2.1489971346705687E-3</v>
      </c>
      <c r="E51" s="2">
        <v>-7.3235685752329853E-3</v>
      </c>
      <c r="F51" s="2">
        <v>-4.4500953591863762E-3</v>
      </c>
      <c r="G51" s="2">
        <v>2.4140012070006378E-3</v>
      </c>
      <c r="H51" s="2">
        <v>-1.4772727272725464E-3</v>
      </c>
      <c r="J51" s="1" t="s">
        <v>40</v>
      </c>
      <c r="K51" s="1">
        <v>2021</v>
      </c>
      <c r="L51" s="1" t="s">
        <v>42</v>
      </c>
      <c r="M51" s="1">
        <v>156.80000000000001</v>
      </c>
      <c r="O51" s="4" t="s">
        <v>71</v>
      </c>
      <c r="P51" s="2"/>
      <c r="Q51" s="2">
        <v>2.0619223062504029E-2</v>
      </c>
      <c r="R51" s="2">
        <v>4.5598480050665198E-2</v>
      </c>
      <c r="S51" s="2">
        <v>2.6287098728043662E-2</v>
      </c>
      <c r="T51" s="2">
        <v>0.10739119237702781</v>
      </c>
      <c r="U51" s="2">
        <v>0.10495639534883719</v>
      </c>
      <c r="V51" s="2">
        <v>1.6398977475525296E-3</v>
      </c>
      <c r="W51" s="2">
        <v>2.5896855588192734E-2</v>
      </c>
      <c r="Y51" s="4" t="s">
        <v>96</v>
      </c>
      <c r="Z51" s="2">
        <v>0.10106355110808396</v>
      </c>
      <c r="AF51" s="1"/>
      <c r="AG51" s="1"/>
      <c r="AH51" s="1"/>
      <c r="AI51" s="1"/>
      <c r="AJ51" s="1"/>
      <c r="AK51" s="1"/>
      <c r="AL51" s="1"/>
      <c r="AM51" s="1"/>
      <c r="AN51" s="1"/>
      <c r="AO51" s="4">
        <v>2020</v>
      </c>
      <c r="AP51" s="6">
        <v>153.38</v>
      </c>
      <c r="AQ51" s="2">
        <v>6.3795712484236794E-2</v>
      </c>
      <c r="AR51" s="1"/>
      <c r="AS51" s="1"/>
      <c r="AT51" s="1"/>
      <c r="AU51" s="1"/>
    </row>
    <row r="52" spans="1:47" ht="13.2" x14ac:dyDescent="0.25">
      <c r="A52" s="4" t="s">
        <v>42</v>
      </c>
      <c r="B52" s="2">
        <v>2.2970903522206076E-3</v>
      </c>
      <c r="C52" s="2">
        <v>7.3313782991198172E-4</v>
      </c>
      <c r="D52" s="2">
        <v>3.5739814152966403E-3</v>
      </c>
      <c r="E52" s="2">
        <v>-3.3534540576794099E-3</v>
      </c>
      <c r="F52" s="2">
        <v>1.2771392081737999E-3</v>
      </c>
      <c r="G52" s="2">
        <v>9.6327513546056245E-3</v>
      </c>
      <c r="H52" s="2">
        <v>2.503698645726693E-3</v>
      </c>
      <c r="J52" s="1" t="s">
        <v>40</v>
      </c>
      <c r="K52" s="1">
        <v>2021</v>
      </c>
      <c r="L52" s="1" t="s">
        <v>43</v>
      </c>
      <c r="M52" s="1">
        <v>157.80000000000001</v>
      </c>
      <c r="O52" s="4" t="s">
        <v>73</v>
      </c>
      <c r="P52" s="2"/>
      <c r="Q52" s="2">
        <v>4.2386185243328101E-2</v>
      </c>
      <c r="R52" s="2">
        <v>2.5903614457831188E-2</v>
      </c>
      <c r="S52" s="2">
        <v>1.7050125447071927E-2</v>
      </c>
      <c r="T52" s="2">
        <v>6.0023933992567828E-2</v>
      </c>
      <c r="U52" s="2">
        <v>2.592592592592613E-2</v>
      </c>
      <c r="V52" s="2">
        <v>6.1371841155234787E-2</v>
      </c>
      <c r="W52" s="2">
        <v>6.494597839135649E-2</v>
      </c>
      <c r="Y52" s="4" t="s">
        <v>94</v>
      </c>
      <c r="Z52" s="2">
        <v>9.5657581096486269E-2</v>
      </c>
      <c r="AF52" s="1"/>
      <c r="AG52" s="1"/>
      <c r="AH52" s="1"/>
      <c r="AI52" s="1"/>
      <c r="AJ52" s="1"/>
      <c r="AK52" s="1"/>
      <c r="AL52" s="1"/>
      <c r="AM52" s="1"/>
      <c r="AN52" s="1"/>
      <c r="AO52" s="4">
        <v>2021</v>
      </c>
      <c r="AP52" s="6">
        <v>161.45833333333331</v>
      </c>
      <c r="AQ52" s="2">
        <v>5.2668752988220886E-2</v>
      </c>
      <c r="AR52" s="1"/>
      <c r="AS52" s="1"/>
      <c r="AT52" s="1"/>
      <c r="AU52" s="1"/>
    </row>
    <row r="53" spans="1:47" ht="13.2" x14ac:dyDescent="0.25">
      <c r="A53" s="4" t="s">
        <v>43</v>
      </c>
      <c r="B53" s="2">
        <v>1.5278838808249703E-3</v>
      </c>
      <c r="C53" s="2">
        <v>4.395604395604354E-3</v>
      </c>
      <c r="D53" s="2" t="e">
        <v>#NULL!</v>
      </c>
      <c r="E53" s="2" t="e">
        <v>#DIV/0!</v>
      </c>
      <c r="F53" s="2">
        <v>6.3775510204081625E-3</v>
      </c>
      <c r="G53" s="2">
        <v>1.4311270125223648E-2</v>
      </c>
      <c r="H53" s="2">
        <v>1.5041434896128827E-2</v>
      </c>
      <c r="J53" s="1" t="s">
        <v>40</v>
      </c>
      <c r="K53" s="1">
        <v>2021</v>
      </c>
      <c r="L53" s="1" t="s">
        <v>44</v>
      </c>
      <c r="M53" s="1">
        <v>160.4</v>
      </c>
      <c r="O53" s="4" t="s">
        <v>76</v>
      </c>
      <c r="P53" s="2"/>
      <c r="Q53" s="2">
        <v>2.1577060931899698E-2</v>
      </c>
      <c r="R53" s="2">
        <v>2.0980983790611127E-2</v>
      </c>
      <c r="S53" s="2">
        <v>1.4283036551077807E-2</v>
      </c>
      <c r="T53" s="2">
        <v>0.11265523358959199</v>
      </c>
      <c r="U53" s="2">
        <v>0.29863141110815844</v>
      </c>
      <c r="V53" s="2">
        <v>8.2254736447195359E-2</v>
      </c>
      <c r="W53" s="2">
        <v>-7.3819221769650722E-2</v>
      </c>
      <c r="Y53" s="4" t="s">
        <v>92</v>
      </c>
      <c r="Z53" s="2">
        <v>9.2725778280078025E-2</v>
      </c>
      <c r="AF53" s="1"/>
      <c r="AG53" s="1"/>
      <c r="AH53" s="1"/>
      <c r="AI53" s="1"/>
      <c r="AJ53" s="1"/>
      <c r="AK53" s="1"/>
      <c r="AL53" s="1"/>
      <c r="AM53" s="1"/>
      <c r="AN53" s="1"/>
      <c r="AO53" s="4">
        <v>2022</v>
      </c>
      <c r="AP53" s="6">
        <v>172.14999999999998</v>
      </c>
      <c r="AQ53" s="2">
        <v>6.6219354838709665E-2</v>
      </c>
      <c r="AR53" s="1"/>
      <c r="AS53" s="1"/>
      <c r="AT53" s="1"/>
      <c r="AU53" s="1"/>
    </row>
    <row r="54" spans="1:47" ht="13.2" x14ac:dyDescent="0.25">
      <c r="A54" s="4" t="s">
        <v>44</v>
      </c>
      <c r="B54" s="2">
        <v>2.2883295194508877E-3</v>
      </c>
      <c r="C54" s="2">
        <v>5.105762217359716E-3</v>
      </c>
      <c r="D54" s="2"/>
      <c r="E54" s="2" t="e">
        <v>#DIV/0!</v>
      </c>
      <c r="F54" s="2">
        <v>1.6476552598225565E-2</v>
      </c>
      <c r="G54" s="2">
        <v>9.4062316284538178E-3</v>
      </c>
      <c r="H54" s="2">
        <v>-2.4492534809596317E-3</v>
      </c>
      <c r="J54" s="1" t="s">
        <v>40</v>
      </c>
      <c r="K54" s="1">
        <v>2021</v>
      </c>
      <c r="L54" s="1" t="s">
        <v>45</v>
      </c>
      <c r="M54" s="1">
        <v>161.30000000000001</v>
      </c>
      <c r="O54" s="4" t="s">
        <v>78</v>
      </c>
      <c r="P54" s="2"/>
      <c r="Q54" s="2">
        <v>5.1014021031547244E-2</v>
      </c>
      <c r="R54" s="2">
        <v>5.0562801500803917E-2</v>
      </c>
      <c r="S54" s="2">
        <v>-1.663574520717373E-2</v>
      </c>
      <c r="T54" s="2">
        <v>1.905540532042007E-2</v>
      </c>
      <c r="U54" s="2">
        <v>7.1782687402287423E-2</v>
      </c>
      <c r="V54" s="2">
        <v>4.1697455927372597E-2</v>
      </c>
      <c r="W54" s="2">
        <v>2.8536684231860527E-2</v>
      </c>
      <c r="Y54" s="4" t="s">
        <v>76</v>
      </c>
      <c r="Z54" s="2">
        <v>8.2254736447195359E-2</v>
      </c>
      <c r="AF54" s="1"/>
      <c r="AG54" s="1"/>
      <c r="AH54" s="1"/>
      <c r="AI54" s="1"/>
      <c r="AJ54" s="1"/>
      <c r="AK54" s="1"/>
      <c r="AL54" s="1"/>
      <c r="AM54" s="1"/>
      <c r="AN54" s="1"/>
      <c r="AO54" s="4">
        <v>2023</v>
      </c>
      <c r="AP54" s="6">
        <v>177.61999999999998</v>
      </c>
      <c r="AQ54" s="2">
        <v>3.1774615161196632E-2</v>
      </c>
      <c r="AR54" s="1"/>
      <c r="AS54" s="1"/>
      <c r="AT54" s="1"/>
      <c r="AU54" s="1"/>
    </row>
    <row r="55" spans="1:47" ht="13.2" x14ac:dyDescent="0.25">
      <c r="A55" s="4" t="s">
        <v>45</v>
      </c>
      <c r="B55" s="2">
        <v>4.5662100456620568E-3</v>
      </c>
      <c r="C55" s="2">
        <v>5.0798258345427331E-3</v>
      </c>
      <c r="D55" s="2">
        <v>6.3380281690141246E-3</v>
      </c>
      <c r="E55" s="2"/>
      <c r="F55" s="2">
        <v>5.6109725685785893E-3</v>
      </c>
      <c r="G55" s="2">
        <v>5.2417006406523343E-3</v>
      </c>
      <c r="H55" s="2">
        <v>8.0048432665141781E-3</v>
      </c>
      <c r="J55" s="1" t="s">
        <v>40</v>
      </c>
      <c r="K55" s="1">
        <v>2021</v>
      </c>
      <c r="L55" s="1" t="s">
        <v>46</v>
      </c>
      <c r="M55" s="1">
        <v>162.5</v>
      </c>
      <c r="O55" s="4" t="s">
        <v>82</v>
      </c>
      <c r="P55" s="2"/>
      <c r="Q55" s="2">
        <v>-6.0518731988470666E-3</v>
      </c>
      <c r="R55" s="2">
        <v>3.0153667729773052E-3</v>
      </c>
      <c r="S55" s="2">
        <v>0.13083193617390332</v>
      </c>
      <c r="T55" s="2">
        <v>0.1383714445064137</v>
      </c>
      <c r="U55" s="2">
        <v>-9.6132804206881792E-2</v>
      </c>
      <c r="V55" s="2">
        <v>6.2108715094902227E-2</v>
      </c>
      <c r="W55" s="2">
        <v>-0.12896706586826359</v>
      </c>
      <c r="Y55" s="4" t="s">
        <v>67</v>
      </c>
      <c r="Z55" s="2">
        <v>8.0022798518096447E-2</v>
      </c>
      <c r="AF55" s="1"/>
      <c r="AG55" s="1"/>
      <c r="AH55" s="1"/>
      <c r="AI55" s="1"/>
      <c r="AJ55" s="1"/>
      <c r="AK55" s="1"/>
      <c r="AL55" s="1"/>
      <c r="AM55" s="1"/>
      <c r="AN55" s="1"/>
      <c r="AO55" s="35" t="s">
        <v>80</v>
      </c>
      <c r="AP55" s="39">
        <v>149.17325581395352</v>
      </c>
      <c r="AQ55" s="37"/>
      <c r="AR55" s="1"/>
      <c r="AS55" s="1"/>
      <c r="AT55" s="1"/>
      <c r="AU55" s="1"/>
    </row>
    <row r="56" spans="1:47" ht="13.2" x14ac:dyDescent="0.25">
      <c r="A56" s="4" t="s">
        <v>46</v>
      </c>
      <c r="B56" s="2">
        <v>1.666666666666658E-2</v>
      </c>
      <c r="C56" s="2">
        <v>9.3862815884477348E-3</v>
      </c>
      <c r="D56" s="2">
        <v>9.0972708187542547E-3</v>
      </c>
      <c r="E56" s="2">
        <v>0</v>
      </c>
      <c r="F56" s="2">
        <v>7.439553626782322E-3</v>
      </c>
      <c r="G56" s="2">
        <v>4.634994206257308E-3</v>
      </c>
      <c r="H56" s="2">
        <v>7.5631186742297352E-3</v>
      </c>
      <c r="J56" s="1" t="s">
        <v>40</v>
      </c>
      <c r="K56" s="1">
        <v>2021</v>
      </c>
      <c r="L56" s="1" t="s">
        <v>47</v>
      </c>
      <c r="M56" s="1">
        <v>163.19999999999999</v>
      </c>
      <c r="O56" s="4" t="s">
        <v>84</v>
      </c>
      <c r="P56" s="2"/>
      <c r="Q56" s="2">
        <v>-0.19002386867358365</v>
      </c>
      <c r="R56" s="2">
        <v>-0.11691123406302663</v>
      </c>
      <c r="S56" s="2">
        <v>5.1459844976598154E-2</v>
      </c>
      <c r="T56" s="2">
        <v>0.16081396170423251</v>
      </c>
      <c r="U56" s="2">
        <v>9.3148294682167662E-2</v>
      </c>
      <c r="V56" s="2">
        <v>1.9242547978766924E-2</v>
      </c>
      <c r="W56" s="2">
        <v>3.6005809003956002E-2</v>
      </c>
      <c r="Y56" s="4" t="s">
        <v>97</v>
      </c>
      <c r="Z56" s="2">
        <v>7.4378389989796401E-2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3.2" x14ac:dyDescent="0.25">
      <c r="A57" s="4" t="s">
        <v>47</v>
      </c>
      <c r="B57" s="2">
        <v>8.9418777943369391E-3</v>
      </c>
      <c r="C57" s="2">
        <v>4.291845493562191E-3</v>
      </c>
      <c r="D57" s="2">
        <v>5.5478502080444619E-3</v>
      </c>
      <c r="E57" s="2">
        <v>1.3833992094861622E-2</v>
      </c>
      <c r="F57" s="2">
        <v>4.3076923076922381E-3</v>
      </c>
      <c r="G57" s="2">
        <v>5.1903114186851538E-3</v>
      </c>
      <c r="H57" s="2">
        <v>6.9544099790264588E-3</v>
      </c>
      <c r="J57" s="1" t="s">
        <v>40</v>
      </c>
      <c r="K57" s="1">
        <v>2021</v>
      </c>
      <c r="L57" s="1" t="s">
        <v>48</v>
      </c>
      <c r="M57" s="1">
        <v>163.19999999999999</v>
      </c>
      <c r="O57" s="4" t="s">
        <v>86</v>
      </c>
      <c r="P57" s="2"/>
      <c r="Q57" s="2">
        <v>0.10378444768557597</v>
      </c>
      <c r="R57" s="2">
        <v>-5.2507128451213622E-2</v>
      </c>
      <c r="S57" s="2">
        <v>-1.790957134468571E-2</v>
      </c>
      <c r="T57" s="2">
        <v>3.4080717488789214E-2</v>
      </c>
      <c r="U57" s="2">
        <v>1.3443191673894041E-2</v>
      </c>
      <c r="V57" s="2">
        <v>3.0238197118813526E-2</v>
      </c>
      <c r="W57" s="2">
        <v>5.288661221099296E-3</v>
      </c>
      <c r="Y57" s="4" t="s">
        <v>89</v>
      </c>
      <c r="Z57" s="2">
        <v>7.2437733650531647E-2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3.2" x14ac:dyDescent="0.25">
      <c r="A58" s="4" t="s">
        <v>48</v>
      </c>
      <c r="B58" s="2">
        <v>-1.4771048744462115E-3</v>
      </c>
      <c r="C58" s="2">
        <v>-1.424501424501546E-3</v>
      </c>
      <c r="D58" s="2">
        <v>5.5172413793104233E-3</v>
      </c>
      <c r="E58" s="2">
        <v>5.1981806367770167E-3</v>
      </c>
      <c r="F58" s="2">
        <v>0</v>
      </c>
      <c r="G58" s="2">
        <v>5.737234652897303E-3</v>
      </c>
      <c r="H58" s="2">
        <v>2.4117518088137197E-3</v>
      </c>
      <c r="J58" s="1" t="s">
        <v>40</v>
      </c>
      <c r="K58" s="1">
        <v>2021</v>
      </c>
      <c r="L58" s="1" t="s">
        <v>49</v>
      </c>
      <c r="M58" s="1">
        <v>165.5</v>
      </c>
      <c r="O58" s="4" t="s">
        <v>87</v>
      </c>
      <c r="P58" s="2"/>
      <c r="Q58" s="2">
        <v>3.6585365853646052E-4</v>
      </c>
      <c r="R58" s="2">
        <v>1.6457393636474461E-2</v>
      </c>
      <c r="S58" s="2">
        <v>2.6145358599184605E-2</v>
      </c>
      <c r="T58" s="2">
        <v>0.10818564324875671</v>
      </c>
      <c r="U58" s="2">
        <v>5.8678018753955064E-2</v>
      </c>
      <c r="V58" s="2">
        <v>0.1286610878661088</v>
      </c>
      <c r="W58" s="2">
        <v>0.12135575268105384</v>
      </c>
      <c r="Y58" s="4" t="s">
        <v>99</v>
      </c>
      <c r="Z58" s="2">
        <v>6.9961808822715438E-2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3.2" x14ac:dyDescent="0.25">
      <c r="A59" s="4" t="s">
        <v>49</v>
      </c>
      <c r="B59" s="2">
        <v>6.6568047337278533E-3</v>
      </c>
      <c r="C59" s="2">
        <v>4.2796005706135717E-3</v>
      </c>
      <c r="D59" s="2">
        <v>9.6021947873798155E-3</v>
      </c>
      <c r="E59" s="2">
        <v>1.0989010989011101E-2</v>
      </c>
      <c r="F59" s="2">
        <v>1.4093137254902032E-2</v>
      </c>
      <c r="G59" s="2">
        <v>7.9863091842554308E-3</v>
      </c>
      <c r="H59" s="2">
        <v>9.0769903762031121E-3</v>
      </c>
      <c r="J59" s="1" t="s">
        <v>40</v>
      </c>
      <c r="K59" s="1">
        <v>2021</v>
      </c>
      <c r="L59" s="1" t="s">
        <v>50</v>
      </c>
      <c r="M59" s="1">
        <v>166.7</v>
      </c>
      <c r="O59" s="4" t="s">
        <v>88</v>
      </c>
      <c r="P59" s="2"/>
      <c r="Q59" s="2">
        <v>2.6597166533012764E-2</v>
      </c>
      <c r="R59" s="2">
        <v>2.1741960682202598E-2</v>
      </c>
      <c r="S59" s="2">
        <v>2.8356964136780721E-2</v>
      </c>
      <c r="T59" s="2">
        <v>4.5823195458231908E-2</v>
      </c>
      <c r="U59" s="2">
        <v>0.1362662099866444</v>
      </c>
      <c r="V59" s="2">
        <v>4.9684583702622361E-2</v>
      </c>
      <c r="W59" s="2">
        <v>2.7873249230158E-2</v>
      </c>
      <c r="Y59" s="4" t="s">
        <v>102</v>
      </c>
      <c r="Z59" s="2">
        <v>6.803506745760958E-2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3.2" x14ac:dyDescent="0.25">
      <c r="A60" s="4" t="s">
        <v>50</v>
      </c>
      <c r="B60" s="2">
        <v>1.1021307861866276E-2</v>
      </c>
      <c r="C60" s="2">
        <v>0</v>
      </c>
      <c r="D60" s="2">
        <v>9.5108695652174301E-3</v>
      </c>
      <c r="E60" s="2">
        <v>1.278772378516624E-2</v>
      </c>
      <c r="F60" s="2">
        <v>7.2507552870089949E-3</v>
      </c>
      <c r="G60" s="2">
        <v>-1.1318619128465684E-3</v>
      </c>
      <c r="H60" s="2">
        <v>6.3942776633791271E-3</v>
      </c>
      <c r="J60" s="1" t="s">
        <v>40</v>
      </c>
      <c r="K60" s="1">
        <v>2021</v>
      </c>
      <c r="L60" s="1" t="s">
        <v>51</v>
      </c>
      <c r="M60" s="1">
        <v>166.2</v>
      </c>
      <c r="O60" s="4" t="s">
        <v>89</v>
      </c>
      <c r="P60" s="2"/>
      <c r="Q60" s="2">
        <v>5.1824685865448236E-2</v>
      </c>
      <c r="R60" s="2">
        <v>4.424121177479292E-2</v>
      </c>
      <c r="S60" s="2">
        <v>2.6060042098139429E-2</v>
      </c>
      <c r="T60" s="2">
        <v>3.572717220508613E-2</v>
      </c>
      <c r="U60" s="2">
        <v>6.0891690875002895E-2</v>
      </c>
      <c r="V60" s="2">
        <v>7.2437733650531647E-2</v>
      </c>
      <c r="W60" s="2">
        <v>4.8377020236316723E-2</v>
      </c>
      <c r="Y60" s="4" t="s">
        <v>90</v>
      </c>
      <c r="Z60" s="2">
        <v>6.624008190427455E-2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3.2" x14ac:dyDescent="0.25">
      <c r="A61" s="4" t="s">
        <v>51</v>
      </c>
      <c r="B61" s="2">
        <v>-2.9069767441860881E-3</v>
      </c>
      <c r="C61" s="2">
        <v>-4.9715909090910296E-3</v>
      </c>
      <c r="D61" s="2">
        <v>1.2113055181695904E-2</v>
      </c>
      <c r="E61" s="2">
        <v>3.1565656565656565E-3</v>
      </c>
      <c r="F61" s="2">
        <v>-2.999400119976005E-3</v>
      </c>
      <c r="G61" s="2">
        <v>-4.5325779036827843E-3</v>
      </c>
      <c r="H61" s="2">
        <v>-1.0768899418469638E-4</v>
      </c>
      <c r="J61" s="1" t="s">
        <v>40</v>
      </c>
      <c r="K61" s="1">
        <v>2022</v>
      </c>
      <c r="L61" s="1" t="s">
        <v>37</v>
      </c>
      <c r="M61" s="1">
        <v>165.7</v>
      </c>
      <c r="O61" s="4" t="s">
        <v>90</v>
      </c>
      <c r="P61" s="2"/>
      <c r="Q61" s="2">
        <v>1.8158155676747615E-2</v>
      </c>
      <c r="R61" s="2">
        <v>1.6556089841134467E-2</v>
      </c>
      <c r="S61" s="2">
        <v>3.904502180054565E-2</v>
      </c>
      <c r="T61" s="2">
        <v>8.0530584019614063E-2</v>
      </c>
      <c r="U61" s="2">
        <v>4.1836358699867904E-2</v>
      </c>
      <c r="V61" s="2">
        <v>6.624008190427455E-2</v>
      </c>
      <c r="W61" s="2">
        <v>2.2843151375486117E-2</v>
      </c>
      <c r="Y61" s="4" t="s">
        <v>104</v>
      </c>
      <c r="Z61" s="2">
        <v>6.6219354838709665E-2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3.2" x14ac:dyDescent="0.25">
      <c r="A62" s="4" t="s">
        <v>80</v>
      </c>
      <c r="B62" s="2"/>
      <c r="C62" s="2"/>
      <c r="D62" s="2"/>
      <c r="E62" s="2"/>
      <c r="F62" s="2"/>
      <c r="G62" s="2"/>
      <c r="H62" s="2"/>
      <c r="J62" s="1" t="s">
        <v>40</v>
      </c>
      <c r="K62" s="1">
        <v>2022</v>
      </c>
      <c r="L62" s="1" t="s">
        <v>41</v>
      </c>
      <c r="M62" s="1">
        <v>166.1</v>
      </c>
      <c r="O62" s="4" t="s">
        <v>91</v>
      </c>
      <c r="P62" s="2"/>
      <c r="Q62" s="2">
        <v>6.6347018279892075E-2</v>
      </c>
      <c r="R62" s="2">
        <v>6.8907374100719621E-2</v>
      </c>
      <c r="S62" s="2">
        <v>4.4044398130000988E-2</v>
      </c>
      <c r="T62" s="2">
        <v>8.7247953409153353E-2</v>
      </c>
      <c r="U62" s="2">
        <v>5.9755419677598662E-2</v>
      </c>
      <c r="V62" s="2">
        <v>2.1505376344085992E-2</v>
      </c>
      <c r="W62" s="2">
        <v>2.5725288831835641E-2</v>
      </c>
      <c r="Y62" s="4" t="s">
        <v>100</v>
      </c>
      <c r="Z62" s="2">
        <v>6.4856469580119799E-2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3.2" x14ac:dyDescent="0.25">
      <c r="J63" s="1" t="s">
        <v>40</v>
      </c>
      <c r="K63" s="1">
        <v>2022</v>
      </c>
      <c r="L63" s="1" t="s">
        <v>42</v>
      </c>
      <c r="M63" s="1">
        <v>167.7</v>
      </c>
      <c r="O63" s="4" t="s">
        <v>92</v>
      </c>
      <c r="P63" s="2"/>
      <c r="Q63" s="2">
        <v>4.6898449224612088E-2</v>
      </c>
      <c r="R63" s="2">
        <v>4.8381316449647598E-2</v>
      </c>
      <c r="S63" s="2">
        <v>1.7444269495317879E-2</v>
      </c>
      <c r="T63" s="2">
        <v>2.6084300549786152E-2</v>
      </c>
      <c r="U63" s="2">
        <v>6.2322636978825674E-2</v>
      </c>
      <c r="V63" s="2">
        <v>9.2725778280078025E-2</v>
      </c>
      <c r="W63" s="2">
        <v>5.0895585538996806E-2</v>
      </c>
      <c r="Y63" s="4" t="s">
        <v>103</v>
      </c>
      <c r="Z63" s="2">
        <v>6.4558769100618502E-2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3.2" x14ac:dyDescent="0.25">
      <c r="J64" s="1" t="s">
        <v>40</v>
      </c>
      <c r="K64" s="1">
        <v>2022</v>
      </c>
      <c r="L64" s="1" t="s">
        <v>43</v>
      </c>
      <c r="M64" s="1">
        <v>170.1</v>
      </c>
      <c r="O64" s="4" t="s">
        <v>93</v>
      </c>
      <c r="P64" s="2"/>
      <c r="Q64" s="2">
        <v>3.777777777777775E-2</v>
      </c>
      <c r="R64" s="2">
        <v>4.1378007305705969E-2</v>
      </c>
      <c r="S64" s="2">
        <v>1.8797591884982499E-2</v>
      </c>
      <c r="T64" s="2">
        <v>2.3280663126537891E-2</v>
      </c>
      <c r="U64" s="2">
        <v>6.1550063812507265E-2</v>
      </c>
      <c r="V64" s="2">
        <v>0.11443248264932521</v>
      </c>
      <c r="W64" s="2">
        <v>5.2008041975187422E-2</v>
      </c>
      <c r="Y64" s="4" t="s">
        <v>82</v>
      </c>
      <c r="Z64" s="2">
        <v>6.2108715094902227E-2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0:47" ht="13.2" x14ac:dyDescent="0.25">
      <c r="J65" s="1" t="s">
        <v>40</v>
      </c>
      <c r="K65" s="1">
        <v>2022</v>
      </c>
      <c r="L65" s="1" t="s">
        <v>44</v>
      </c>
      <c r="M65" s="1">
        <v>171.7</v>
      </c>
      <c r="O65" s="4" t="s">
        <v>94</v>
      </c>
      <c r="P65" s="2"/>
      <c r="Q65" s="2">
        <v>4.5683362698212798E-2</v>
      </c>
      <c r="R65" s="2">
        <v>4.7298110482609089E-2</v>
      </c>
      <c r="S65" s="2">
        <v>1.76343996155536E-2</v>
      </c>
      <c r="T65" s="2">
        <v>2.56051740067753E-2</v>
      </c>
      <c r="U65" s="2">
        <v>6.2407786659620046E-2</v>
      </c>
      <c r="V65" s="2">
        <v>9.5657581096486269E-2</v>
      </c>
      <c r="W65" s="2">
        <v>5.0964812712826608E-2</v>
      </c>
      <c r="Y65" s="4" t="s">
        <v>73</v>
      </c>
      <c r="Z65" s="2">
        <v>6.1371841155234787E-2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0:47" ht="13.2" x14ac:dyDescent="0.25">
      <c r="J66" s="1" t="s">
        <v>40</v>
      </c>
      <c r="K66" s="1">
        <v>2022</v>
      </c>
      <c r="L66" s="1" t="s">
        <v>45</v>
      </c>
      <c r="M66" s="1">
        <v>172.6</v>
      </c>
      <c r="O66" s="4" t="s">
        <v>95</v>
      </c>
      <c r="P66" s="2"/>
      <c r="Q66" s="2">
        <v>5.6928246689068658E-2</v>
      </c>
      <c r="R66" s="2">
        <v>7.6055108783741818E-2</v>
      </c>
      <c r="S66" s="2">
        <v>4.8122146088660292E-2</v>
      </c>
      <c r="T66" s="2">
        <v>3.286300048239256E-2</v>
      </c>
      <c r="U66" s="2">
        <v>3.7022982466382644E-2</v>
      </c>
      <c r="V66" s="2">
        <v>4.0664671276705339E-2</v>
      </c>
      <c r="W66" s="2">
        <v>3.5287116929485315E-2</v>
      </c>
      <c r="Y66" s="4" t="s">
        <v>98</v>
      </c>
      <c r="Z66" s="2">
        <v>6.0800964775639302E-2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0:47" ht="13.2" x14ac:dyDescent="0.25">
      <c r="J67" s="1" t="s">
        <v>40</v>
      </c>
      <c r="K67" s="1">
        <v>2022</v>
      </c>
      <c r="L67" s="1" t="s">
        <v>46</v>
      </c>
      <c r="M67" s="1">
        <v>173.4</v>
      </c>
      <c r="O67" s="4" t="s">
        <v>96</v>
      </c>
      <c r="P67" s="2"/>
      <c r="Q67" s="2">
        <v>5.5679137175598185E-2</v>
      </c>
      <c r="R67" s="2">
        <v>7.1004405848924187E-2</v>
      </c>
      <c r="S67" s="2">
        <v>3.3657989300986861E-3</v>
      </c>
      <c r="T67" s="2">
        <v>2.7938030725351577E-2</v>
      </c>
      <c r="U67" s="2">
        <v>0.10331798881742135</v>
      </c>
      <c r="V67" s="2">
        <v>0.10106355110808396</v>
      </c>
      <c r="W67" s="2">
        <v>3.9779215835553876E-2</v>
      </c>
      <c r="Y67" s="4" t="s">
        <v>69</v>
      </c>
      <c r="Z67" s="2">
        <v>5.3199949771880493E-2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0:47" ht="13.2" x14ac:dyDescent="0.25">
      <c r="J68" s="1" t="s">
        <v>40</v>
      </c>
      <c r="K68" s="1">
        <v>2022</v>
      </c>
      <c r="L68" s="1" t="s">
        <v>47</v>
      </c>
      <c r="M68" s="1">
        <v>174.3</v>
      </c>
      <c r="O68" s="4" t="s">
        <v>97</v>
      </c>
      <c r="P68" s="2"/>
      <c r="Q68" s="2">
        <v>4.0915668990922624E-2</v>
      </c>
      <c r="R68" s="2">
        <v>5.0872093023255668E-2</v>
      </c>
      <c r="S68" s="2">
        <v>4.1772587866760857E-2</v>
      </c>
      <c r="T68" s="2">
        <v>2.2764483627204193E-2</v>
      </c>
      <c r="U68" s="2">
        <v>5.0965120216728582E-2</v>
      </c>
      <c r="V68" s="2">
        <v>7.4378389989796401E-2</v>
      </c>
      <c r="W68" s="2">
        <v>4.5006498050584806E-2</v>
      </c>
      <c r="Y68" s="4" t="s">
        <v>88</v>
      </c>
      <c r="Z68" s="2">
        <v>4.9684583702622361E-2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0:47" ht="13.2" x14ac:dyDescent="0.25">
      <c r="J69" s="1" t="s">
        <v>40</v>
      </c>
      <c r="K69" s="1">
        <v>2022</v>
      </c>
      <c r="L69" s="1" t="s">
        <v>48</v>
      </c>
      <c r="M69" s="1">
        <v>175.3</v>
      </c>
      <c r="O69" s="4" t="s">
        <v>98</v>
      </c>
      <c r="P69" s="2"/>
      <c r="Q69" s="2">
        <v>4.1541038525963074E-2</v>
      </c>
      <c r="R69" s="2">
        <v>6.2077838533290595E-2</v>
      </c>
      <c r="S69" s="2">
        <v>7.4588403722261901E-2</v>
      </c>
      <c r="T69" s="2">
        <v>4.353440324663347E-2</v>
      </c>
      <c r="U69" s="2">
        <v>7.492683597509478E-2</v>
      </c>
      <c r="V69" s="2">
        <v>6.0800964775639302E-2</v>
      </c>
      <c r="W69" s="2">
        <v>4.7946568139832335E-2</v>
      </c>
      <c r="Y69" s="4" t="s">
        <v>101</v>
      </c>
      <c r="Z69" s="2">
        <v>4.754806209519899E-2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0:47" ht="13.2" x14ac:dyDescent="0.25">
      <c r="J70" s="1" t="s">
        <v>40</v>
      </c>
      <c r="K70" s="1">
        <v>2022</v>
      </c>
      <c r="L70" s="1" t="s">
        <v>49</v>
      </c>
      <c r="M70" s="1">
        <v>176.7</v>
      </c>
      <c r="O70" s="4" t="s">
        <v>99</v>
      </c>
      <c r="P70" s="2"/>
      <c r="Q70" s="2">
        <v>3.4761519805982181E-2</v>
      </c>
      <c r="R70" s="2">
        <v>4.9360795454545497E-2</v>
      </c>
      <c r="S70" s="2">
        <v>2.0027688047992636E-2</v>
      </c>
      <c r="T70" s="2">
        <v>8.3597538906985167E-2</v>
      </c>
      <c r="U70" s="2">
        <v>0.10631444877164621</v>
      </c>
      <c r="V70" s="2">
        <v>6.9961808822715438E-2</v>
      </c>
      <c r="W70" s="2">
        <v>1.9667890952356427E-2</v>
      </c>
      <c r="Y70" s="4" t="s">
        <v>78</v>
      </c>
      <c r="Z70" s="2">
        <v>4.1697455927372597E-2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0:47" ht="13.2" x14ac:dyDescent="0.25">
      <c r="J71" s="1" t="s">
        <v>40</v>
      </c>
      <c r="K71" s="1">
        <v>2022</v>
      </c>
      <c r="L71" s="1" t="s">
        <v>50</v>
      </c>
      <c r="M71" s="1">
        <v>176.5</v>
      </c>
      <c r="O71" s="4" t="s">
        <v>100</v>
      </c>
      <c r="P71" s="2"/>
      <c r="Q71" s="2">
        <v>3.6799344575681091E-2</v>
      </c>
      <c r="R71" s="2">
        <v>5.1428947715000936E-2</v>
      </c>
      <c r="S71" s="2">
        <v>5.155519622858476E-2</v>
      </c>
      <c r="T71" s="2">
        <v>4.5110779026703927E-2</v>
      </c>
      <c r="U71" s="2">
        <v>6.4077138754017673E-2</v>
      </c>
      <c r="V71" s="2">
        <v>6.4856469580119799E-2</v>
      </c>
      <c r="W71" s="2">
        <v>2.8416234974601651E-2</v>
      </c>
      <c r="Y71" s="4" t="s">
        <v>95</v>
      </c>
      <c r="Z71" s="2">
        <v>4.0664671276705339E-2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0:47" ht="13.2" x14ac:dyDescent="0.25">
      <c r="J72" s="1" t="s">
        <v>40</v>
      </c>
      <c r="K72" s="1">
        <v>2022</v>
      </c>
      <c r="L72" s="1" t="s">
        <v>51</v>
      </c>
      <c r="M72" s="1">
        <v>175.7</v>
      </c>
      <c r="O72" s="4" t="s">
        <v>101</v>
      </c>
      <c r="P72" s="2"/>
      <c r="Q72" s="2">
        <v>4.7295129307578877E-2</v>
      </c>
      <c r="R72" s="2">
        <v>5.8026960784313616E-2</v>
      </c>
      <c r="S72" s="2">
        <v>6.4942586225959137E-2</v>
      </c>
      <c r="T72" s="2">
        <v>2.6975557664926389E-2</v>
      </c>
      <c r="U72" s="2">
        <v>3.0162462138061251E-2</v>
      </c>
      <c r="V72" s="2">
        <v>4.754806209519899E-2</v>
      </c>
      <c r="W72" s="2">
        <v>3.3770057412041719E-2</v>
      </c>
      <c r="Y72" s="4" t="s">
        <v>86</v>
      </c>
      <c r="Z72" s="2">
        <v>3.0238197118813526E-2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0:47" ht="13.2" x14ac:dyDescent="0.25">
      <c r="J73" s="1" t="s">
        <v>40</v>
      </c>
      <c r="K73" s="1">
        <v>2023</v>
      </c>
      <c r="L73" s="1" t="s">
        <v>37</v>
      </c>
      <c r="M73" s="1">
        <v>176.5</v>
      </c>
      <c r="O73" s="4" t="s">
        <v>102</v>
      </c>
      <c r="P73" s="2"/>
      <c r="Q73" s="2">
        <v>3.8118466898954741E-2</v>
      </c>
      <c r="R73" s="2">
        <v>4.6989326710076162E-2</v>
      </c>
      <c r="S73" s="2">
        <v>5.0901397121823962E-2</v>
      </c>
      <c r="T73" s="2">
        <v>0.11120133111480884</v>
      </c>
      <c r="U73" s="2">
        <v>4.586682479026627E-2</v>
      </c>
      <c r="V73" s="2">
        <v>6.803506745760958E-2</v>
      </c>
      <c r="W73" s="2">
        <v>7.3246497911034575E-2</v>
      </c>
      <c r="Y73" s="4" t="s">
        <v>91</v>
      </c>
      <c r="Z73" s="2">
        <v>2.1505376344085992E-2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0:47" ht="13.2" x14ac:dyDescent="0.25">
      <c r="J74" s="1" t="s">
        <v>40</v>
      </c>
      <c r="K74" s="1">
        <v>2023</v>
      </c>
      <c r="L74" s="1" t="s">
        <v>41</v>
      </c>
      <c r="M74" s="1">
        <v>177.2</v>
      </c>
      <c r="O74" s="4" t="s">
        <v>103</v>
      </c>
      <c r="P74" s="2"/>
      <c r="Q74" s="2">
        <v>3.9876458476321347E-2</v>
      </c>
      <c r="R74" s="2">
        <v>5.3527819945878102E-2</v>
      </c>
      <c r="S74" s="2">
        <v>4.8399038625827465E-2</v>
      </c>
      <c r="T74" s="2">
        <v>5.8481095176010224E-2</v>
      </c>
      <c r="U74" s="2">
        <v>6.7734796648827075E-2</v>
      </c>
      <c r="V74" s="2">
        <v>6.4558769100618502E-2</v>
      </c>
      <c r="W74" s="2">
        <v>3.9078176219330518E-2</v>
      </c>
      <c r="Y74" s="4" t="s">
        <v>84</v>
      </c>
      <c r="Z74" s="2">
        <v>1.9242547978766924E-2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0:47" ht="13.2" x14ac:dyDescent="0.25">
      <c r="J75" s="1" t="s">
        <v>40</v>
      </c>
      <c r="K75" s="1">
        <v>2023</v>
      </c>
      <c r="L75" s="1" t="s">
        <v>42</v>
      </c>
      <c r="M75" s="1">
        <v>177.2</v>
      </c>
      <c r="O75" s="4" t="s">
        <v>104</v>
      </c>
      <c r="P75" s="2"/>
      <c r="Q75" s="2">
        <v>3.3281733746129902E-2</v>
      </c>
      <c r="R75" s="2">
        <v>3.9513108614232476E-2</v>
      </c>
      <c r="S75" s="2">
        <v>3.8961038961039161E-2</v>
      </c>
      <c r="T75" s="2">
        <v>6.3795712484236794E-2</v>
      </c>
      <c r="U75" s="2">
        <v>5.2668752988220886E-2</v>
      </c>
      <c r="V75" s="2">
        <v>6.6219354838709665E-2</v>
      </c>
      <c r="W75" s="2">
        <v>3.1774615161196632E-2</v>
      </c>
      <c r="Y75" s="4" t="s">
        <v>71</v>
      </c>
      <c r="Z75" s="2">
        <v>1.6398977475525296E-3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0:47" ht="13.2" x14ac:dyDescent="0.25">
      <c r="J76" s="1" t="s">
        <v>40</v>
      </c>
      <c r="K76" s="1">
        <v>2023</v>
      </c>
      <c r="L76" s="1" t="s">
        <v>43</v>
      </c>
      <c r="M76" s="1">
        <v>178.1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0:47" ht="13.2" x14ac:dyDescent="0.25">
      <c r="J77" s="1" t="s">
        <v>40</v>
      </c>
      <c r="K77" s="1">
        <v>2023</v>
      </c>
      <c r="L77" s="1" t="s">
        <v>44</v>
      </c>
      <c r="M77" s="1">
        <v>179.1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82" spans="15:26" ht="12.75" customHeight="1" x14ac:dyDescent="0.25">
      <c r="O82" s="29" t="s">
        <v>66</v>
      </c>
      <c r="P82" s="29">
        <v>2020</v>
      </c>
      <c r="Y82" s="29" t="s">
        <v>66</v>
      </c>
      <c r="Z82" s="29">
        <v>2022</v>
      </c>
    </row>
    <row r="83" spans="15:26" ht="12.75" customHeight="1" x14ac:dyDescent="0.25">
      <c r="O83" s="4" t="s">
        <v>84</v>
      </c>
      <c r="P83" s="2">
        <v>0.16081396170423251</v>
      </c>
      <c r="Y83" s="4" t="s">
        <v>87</v>
      </c>
      <c r="Z83" s="2">
        <v>0.1286610878661088</v>
      </c>
    </row>
    <row r="84" spans="15:26" ht="12.75" customHeight="1" x14ac:dyDescent="0.25">
      <c r="O84" s="4" t="s">
        <v>69</v>
      </c>
      <c r="P84" s="2">
        <v>0.15398503113751927</v>
      </c>
      <c r="Y84" s="4" t="s">
        <v>93</v>
      </c>
      <c r="Z84" s="2">
        <v>0.11443248264932521</v>
      </c>
    </row>
    <row r="85" spans="15:26" ht="12.75" customHeight="1" x14ac:dyDescent="0.25">
      <c r="O85" s="4" t="s">
        <v>82</v>
      </c>
      <c r="P85" s="2">
        <v>0.1383714445064137</v>
      </c>
      <c r="Y85" s="4" t="s">
        <v>96</v>
      </c>
      <c r="Z85" s="2">
        <v>0.10106355110808396</v>
      </c>
    </row>
    <row r="86" spans="15:26" ht="12.75" customHeight="1" x14ac:dyDescent="0.25">
      <c r="O86" s="4" t="s">
        <v>76</v>
      </c>
      <c r="P86" s="2">
        <v>0.11265523358959199</v>
      </c>
      <c r="Y86" s="4" t="s">
        <v>92</v>
      </c>
      <c r="Z86" s="2">
        <v>9.2725778280078025E-2</v>
      </c>
    </row>
    <row r="87" spans="15:26" ht="12.75" customHeight="1" x14ac:dyDescent="0.25">
      <c r="O87" s="4" t="s">
        <v>102</v>
      </c>
      <c r="P87" s="2">
        <v>0.11120133111480884</v>
      </c>
      <c r="Y87" s="4" t="s">
        <v>76</v>
      </c>
      <c r="Z87" s="2">
        <v>8.2254736447195359E-2</v>
      </c>
    </row>
    <row r="102" spans="25:37" ht="12.75" customHeight="1" x14ac:dyDescent="0.25">
      <c r="Y102" s="3" t="s">
        <v>0</v>
      </c>
      <c r="Z102" t="s">
        <v>40</v>
      </c>
      <c r="AB102" s="1"/>
      <c r="AC102" s="1"/>
      <c r="AD102" s="1"/>
      <c r="AE102" s="7"/>
      <c r="AF102" s="7"/>
      <c r="AG102" s="1"/>
      <c r="AH102" s="1"/>
      <c r="AI102" s="1"/>
      <c r="AJ102" s="1"/>
      <c r="AK102" s="1"/>
    </row>
    <row r="103" spans="25:37" ht="12.75" customHeight="1" x14ac:dyDescent="0.25"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5:37" ht="12.75" customHeight="1" x14ac:dyDescent="0.25">
      <c r="Z104" s="3" t="s">
        <v>65</v>
      </c>
    </row>
    <row r="105" spans="25:37" ht="12.75" customHeight="1" x14ac:dyDescent="0.25">
      <c r="Y105" s="3" t="s">
        <v>66</v>
      </c>
      <c r="Z105" s="2" t="s">
        <v>37</v>
      </c>
      <c r="AA105" s="2" t="s">
        <v>41</v>
      </c>
      <c r="AB105" s="2" t="s">
        <v>42</v>
      </c>
      <c r="AC105" s="2" t="s">
        <v>43</v>
      </c>
      <c r="AD105" s="2" t="s">
        <v>44</v>
      </c>
      <c r="AE105" s="2" t="s">
        <v>45</v>
      </c>
      <c r="AF105" s="2" t="s">
        <v>46</v>
      </c>
      <c r="AG105" s="2" t="s">
        <v>47</v>
      </c>
      <c r="AH105" s="2" t="s">
        <v>48</v>
      </c>
      <c r="AI105" s="2" t="s">
        <v>49</v>
      </c>
      <c r="AJ105" s="2" t="s">
        <v>50</v>
      </c>
      <c r="AK105" s="2" t="s">
        <v>51</v>
      </c>
    </row>
    <row r="106" spans="25:37" ht="12.75" customHeight="1" x14ac:dyDescent="0.25">
      <c r="Y106" s="4" t="s">
        <v>67</v>
      </c>
      <c r="Z106" s="2"/>
      <c r="AA106" s="2">
        <v>3.2756200280771083E-3</v>
      </c>
      <c r="AB106" s="2">
        <v>2.3320895522387676E-3</v>
      </c>
      <c r="AC106" s="2">
        <v>3.037957854151163E-3</v>
      </c>
      <c r="AD106" s="2">
        <v>-4.3741342859223292E-3</v>
      </c>
      <c r="AE106" s="2">
        <v>-1.3619389324156416E-2</v>
      </c>
      <c r="AF106" s="2">
        <v>3.8601440130651794E-3</v>
      </c>
      <c r="AG106" s="2">
        <v>5.9158470753531865E-3</v>
      </c>
      <c r="AH106" s="2">
        <v>4.557818128354073E-3</v>
      </c>
      <c r="AI106" s="2">
        <v>2.8540065861691532E-3</v>
      </c>
      <c r="AJ106" s="2">
        <v>4.2323409223583184E-3</v>
      </c>
      <c r="AK106" s="2">
        <v>3.2698735648887416E-3</v>
      </c>
    </row>
    <row r="107" spans="25:37" ht="12.75" customHeight="1" x14ac:dyDescent="0.25">
      <c r="Y107" s="4" t="s">
        <v>69</v>
      </c>
      <c r="Z107" s="2"/>
      <c r="AA107" s="2">
        <v>2.9677113010437907E-4</v>
      </c>
      <c r="AB107" s="2">
        <v>1.0324571292944762E-2</v>
      </c>
      <c r="AC107" s="2">
        <v>2.714642756928579E-3</v>
      </c>
      <c r="AD107" s="2">
        <v>1.700193285131342E-2</v>
      </c>
      <c r="AE107" s="2">
        <v>1.3937282229966889E-3</v>
      </c>
      <c r="AF107" s="2">
        <v>2.0876826722338996E-3</v>
      </c>
      <c r="AG107" s="2">
        <v>-1.1553030303030381E-2</v>
      </c>
      <c r="AH107" s="2">
        <v>-4.8540588873985501E-3</v>
      </c>
      <c r="AI107" s="2">
        <v>4.3642898401900186E-3</v>
      </c>
      <c r="AJ107" s="2">
        <v>-5.7511662087036497E-4</v>
      </c>
      <c r="AK107" s="2">
        <v>1.59846547314578E-3</v>
      </c>
    </row>
    <row r="108" spans="25:37" ht="12.75" customHeight="1" x14ac:dyDescent="0.25">
      <c r="Y108" s="4" t="s">
        <v>71</v>
      </c>
      <c r="Z108" s="2"/>
      <c r="AA108" s="2">
        <v>-2.3908847518834691E-2</v>
      </c>
      <c r="AB108" s="2">
        <v>-2.0412068635580771E-2</v>
      </c>
      <c r="AC108" s="2">
        <v>-2.1052288858501002E-2</v>
      </c>
      <c r="AD108" s="2">
        <v>-2.8535889368550989E-3</v>
      </c>
      <c r="AE108" s="2">
        <v>1.2547695920164217E-2</v>
      </c>
      <c r="AF108" s="2">
        <v>1.5001087035292571E-2</v>
      </c>
      <c r="AG108" s="2">
        <v>-1.5136370127088423E-2</v>
      </c>
      <c r="AH108" s="2">
        <v>-5.0746701464399874E-4</v>
      </c>
      <c r="AI108" s="2">
        <v>1.1895263654167283E-2</v>
      </c>
      <c r="AJ108" s="2">
        <v>3.7129954841946443E-2</v>
      </c>
      <c r="AK108" s="2">
        <v>2.5088119427742233E-2</v>
      </c>
    </row>
    <row r="109" spans="25:37" ht="12.75" customHeight="1" x14ac:dyDescent="0.25">
      <c r="Y109" s="4" t="s">
        <v>73</v>
      </c>
      <c r="Z109" s="2"/>
      <c r="AA109" s="2">
        <v>4.636583295239409E-3</v>
      </c>
      <c r="AB109" s="2">
        <v>3.0551222048880583E-3</v>
      </c>
      <c r="AC109" s="2">
        <v>6.759121249433093E-3</v>
      </c>
      <c r="AD109" s="2">
        <v>-3.7527437513278305E-3</v>
      </c>
      <c r="AE109" s="2">
        <v>-1.3930348258706525E-2</v>
      </c>
      <c r="AF109" s="2">
        <v>4.8291768776129165E-3</v>
      </c>
      <c r="AG109" s="2">
        <v>4.4473136790763434E-3</v>
      </c>
      <c r="AH109" s="2">
        <v>4.1419695779474682E-3</v>
      </c>
      <c r="AI109" s="2">
        <v>2.9158665813240033E-3</v>
      </c>
      <c r="AJ109" s="2">
        <v>3.8292440788542091E-3</v>
      </c>
      <c r="AK109" s="2">
        <v>4.0972025996044966E-3</v>
      </c>
    </row>
    <row r="110" spans="25:37" ht="12.75" customHeight="1" x14ac:dyDescent="0.25">
      <c r="Y110" s="4" t="s">
        <v>76</v>
      </c>
      <c r="Z110" s="2"/>
      <c r="AA110" s="2">
        <v>1.1722521031584125E-3</v>
      </c>
      <c r="AB110" s="2">
        <v>9.6425373648323463E-3</v>
      </c>
      <c r="AC110" s="2">
        <v>1.655638174500294E-2</v>
      </c>
      <c r="AD110" s="2">
        <v>-4.5028419576290963E-3</v>
      </c>
      <c r="AE110" s="2">
        <v>-2.0317366157496523E-2</v>
      </c>
      <c r="AF110" s="2">
        <v>-4.1628822282774097E-3</v>
      </c>
      <c r="AG110" s="2">
        <v>4.6363152694384258E-3</v>
      </c>
      <c r="AH110" s="2">
        <v>-4.5392646391264826E-4</v>
      </c>
      <c r="AI110" s="2">
        <v>3.5573720859820007E-3</v>
      </c>
      <c r="AJ110" s="2">
        <v>5.9582170601102692E-3</v>
      </c>
      <c r="AK110" s="2">
        <v>4.4234517918728703E-3</v>
      </c>
    </row>
    <row r="111" spans="25:37" ht="12.75" customHeight="1" x14ac:dyDescent="0.25">
      <c r="Y111" s="4" t="s">
        <v>78</v>
      </c>
      <c r="Z111" s="2"/>
      <c r="AA111" s="2">
        <v>1.1122345803842264E-2</v>
      </c>
      <c r="AB111" s="2">
        <v>1.5466666666666563E-2</v>
      </c>
      <c r="AC111" s="2">
        <v>5.3564863445378287E-2</v>
      </c>
      <c r="AD111" s="2">
        <v>-2.7417917609157973E-3</v>
      </c>
      <c r="AE111" s="2">
        <v>-1.7801910784246363E-2</v>
      </c>
      <c r="AF111" s="2">
        <v>9.6571028691390271E-3</v>
      </c>
      <c r="AG111" s="2">
        <v>-4.0892708622121922E-3</v>
      </c>
      <c r="AH111" s="2">
        <v>-2.0530308302595984E-2</v>
      </c>
      <c r="AI111" s="2">
        <v>-3.3394912604801088E-3</v>
      </c>
      <c r="AJ111" s="2">
        <v>-2.28131460754275E-3</v>
      </c>
      <c r="AK111" s="2">
        <v>-1.0003572704537377E-2</v>
      </c>
    </row>
    <row r="112" spans="25:37" ht="12.75" customHeight="1" x14ac:dyDescent="0.25">
      <c r="Y112" s="4" t="s">
        <v>82</v>
      </c>
      <c r="Z112" s="2"/>
      <c r="AA112" s="2">
        <v>-6.1952363322226138E-2</v>
      </c>
      <c r="AB112" s="2">
        <v>-1.874753321931347E-2</v>
      </c>
      <c r="AC112" s="2">
        <v>1.7704632298719828E-2</v>
      </c>
      <c r="AD112" s="2">
        <v>1.5795956814723205E-2</v>
      </c>
      <c r="AE112" s="2">
        <v>5.5210785362722302E-2</v>
      </c>
      <c r="AF112" s="2">
        <v>7.2601906307037167E-2</v>
      </c>
      <c r="AG112" s="2">
        <v>4.3864624692758244E-2</v>
      </c>
      <c r="AH112" s="2">
        <v>1.2075107166599442E-4</v>
      </c>
      <c r="AI112" s="2">
        <v>4.5276184726833854E-2</v>
      </c>
      <c r="AJ112" s="2">
        <v>2.1195495235344999E-2</v>
      </c>
      <c r="AK112" s="2">
        <v>-6.656486822757611E-2</v>
      </c>
    </row>
    <row r="113" spans="25:37" ht="12.75" customHeight="1" x14ac:dyDescent="0.25">
      <c r="Y113" s="4" t="s">
        <v>84</v>
      </c>
      <c r="Z113" s="2"/>
      <c r="AA113" s="2">
        <v>-7.0440739304638619E-3</v>
      </c>
      <c r="AB113" s="2">
        <v>-5.7273023104459E-3</v>
      </c>
      <c r="AC113" s="2">
        <v>2.4756169404987888E-2</v>
      </c>
      <c r="AD113" s="2">
        <v>-8.5019673974143332E-3</v>
      </c>
      <c r="AE113" s="2">
        <v>-9.6378711643397737E-3</v>
      </c>
      <c r="AF113" s="2">
        <v>2.2182468694096763E-3</v>
      </c>
      <c r="AG113" s="2">
        <v>5.4976438669140501E-3</v>
      </c>
      <c r="AH113" s="2">
        <v>3.4083646950224971E-3</v>
      </c>
      <c r="AI113" s="2">
        <v>1.2384120019814591E-2</v>
      </c>
      <c r="AJ113" s="2">
        <v>1.1393820774500178E-2</v>
      </c>
      <c r="AK113" s="2">
        <v>1.520492086530011E-3</v>
      </c>
    </row>
    <row r="114" spans="25:37" ht="12.75" customHeight="1" x14ac:dyDescent="0.25">
      <c r="Y114" s="4" t="s">
        <v>86</v>
      </c>
      <c r="Z114" s="2"/>
      <c r="AA114" s="2">
        <v>-4.9338047857906539E-3</v>
      </c>
      <c r="AB114" s="2">
        <v>-5.7846458970319176E-4</v>
      </c>
      <c r="AC114" s="2">
        <v>1.2593021332892263E-2</v>
      </c>
      <c r="AD114" s="2">
        <v>-6.5570825473816943E-3</v>
      </c>
      <c r="AE114" s="2">
        <v>-4.5207956600359098E-3</v>
      </c>
      <c r="AF114" s="2">
        <v>2.5431425976382622E-3</v>
      </c>
      <c r="AG114" s="2">
        <v>9.6031889835116561E-3</v>
      </c>
      <c r="AH114" s="2">
        <v>2.5125628140702343E-3</v>
      </c>
      <c r="AI114" s="2">
        <v>2.4167561761545098E-3</v>
      </c>
      <c r="AJ114" s="2">
        <v>9.8223055629979156E-4</v>
      </c>
      <c r="AK114" s="2">
        <v>-5.4415700267616881E-3</v>
      </c>
    </row>
    <row r="115" spans="25:37" ht="12.75" customHeight="1" x14ac:dyDescent="0.25">
      <c r="Y115" s="4" t="s">
        <v>87</v>
      </c>
      <c r="Z115" s="2"/>
      <c r="AA115" s="2">
        <v>4.1170509247527966E-3</v>
      </c>
      <c r="AB115" s="2">
        <v>2.8385794486849711E-3</v>
      </c>
      <c r="AC115" s="2">
        <v>1.1988929425085025E-2</v>
      </c>
      <c r="AD115" s="2">
        <v>-7.5208532749906757E-4</v>
      </c>
      <c r="AE115" s="2">
        <v>-3.4416695176189047E-2</v>
      </c>
      <c r="AF115" s="2">
        <v>5.8815192743765067E-3</v>
      </c>
      <c r="AG115" s="2">
        <v>6.9742867206763594E-3</v>
      </c>
      <c r="AH115" s="2">
        <v>6.5062263886946047E-3</v>
      </c>
      <c r="AI115" s="2">
        <v>6.9507193994578437E-3</v>
      </c>
      <c r="AJ115" s="2">
        <v>6.3505211568993985E-3</v>
      </c>
      <c r="AK115" s="2">
        <v>6.2418547225459092E-3</v>
      </c>
    </row>
    <row r="116" spans="25:37" ht="12.75" customHeight="1" x14ac:dyDescent="0.25">
      <c r="Y116" s="4" t="s">
        <v>88</v>
      </c>
      <c r="Z116" s="2"/>
      <c r="AA116" s="2">
        <v>5.103082261685884E-3</v>
      </c>
      <c r="AB116" s="2">
        <v>2.5047386948281033E-3</v>
      </c>
      <c r="AC116" s="2">
        <v>4.9969613073132203E-3</v>
      </c>
      <c r="AD116" s="2">
        <v>2.5868440502588522E-3</v>
      </c>
      <c r="AE116" s="2">
        <v>-2.1747143383708402E-2</v>
      </c>
      <c r="AF116" s="2">
        <v>3.3911077618690058E-3</v>
      </c>
      <c r="AG116" s="2">
        <v>4.9568156214795083E-3</v>
      </c>
      <c r="AH116" s="2">
        <v>2.9893132052909144E-3</v>
      </c>
      <c r="AI116" s="2">
        <v>5.1411966321436393E-3</v>
      </c>
      <c r="AJ116" s="2">
        <v>4.2253521126762172E-3</v>
      </c>
      <c r="AK116" s="2">
        <v>4.1337565512657697E-3</v>
      </c>
    </row>
    <row r="117" spans="25:37" ht="12.75" customHeight="1" x14ac:dyDescent="0.25">
      <c r="Y117" s="4" t="s">
        <v>89</v>
      </c>
      <c r="Z117" s="2"/>
      <c r="AA117" s="2">
        <v>5.4087277197296417E-3</v>
      </c>
      <c r="AB117" s="2">
        <v>4.1569874067736773E-3</v>
      </c>
      <c r="AC117" s="2">
        <v>-7.4745998890648783E-3</v>
      </c>
      <c r="AD117" s="2">
        <v>9.9782592398230778E-3</v>
      </c>
      <c r="AE117" s="2">
        <v>-1.6300354065067604E-2</v>
      </c>
      <c r="AF117" s="2">
        <v>4.0067911714767165E-3</v>
      </c>
      <c r="AG117" s="2">
        <v>5.8170995670996607E-3</v>
      </c>
      <c r="AH117" s="2">
        <v>4.1694687289845636E-3</v>
      </c>
      <c r="AI117" s="2">
        <v>4.4870077685504892E-3</v>
      </c>
      <c r="AJ117" s="2">
        <v>5.1336755783723403E-3</v>
      </c>
      <c r="AK117" s="2">
        <v>4.0461660918014401E-3</v>
      </c>
    </row>
    <row r="118" spans="25:37" ht="12.75" customHeight="1" x14ac:dyDescent="0.25">
      <c r="Y118" s="4" t="s">
        <v>90</v>
      </c>
      <c r="Z118" s="2"/>
      <c r="AA118" s="2">
        <v>-6.1564383384097683E-3</v>
      </c>
      <c r="AB118" s="2">
        <v>1.3041210224309188E-3</v>
      </c>
      <c r="AC118" s="2">
        <v>1.0171919770773754E-2</v>
      </c>
      <c r="AD118" s="2">
        <v>1.9146220394269024E-3</v>
      </c>
      <c r="AE118" s="2">
        <v>-5.2374548800338365E-3</v>
      </c>
      <c r="AF118" s="2">
        <v>1.3233724653148442E-2</v>
      </c>
      <c r="AG118" s="2">
        <v>8.9881328558385817E-3</v>
      </c>
      <c r="AH118" s="2">
        <v>8.3513118519037196E-4</v>
      </c>
      <c r="AI118" s="2">
        <v>1.0221820457547949E-2</v>
      </c>
      <c r="AJ118" s="2">
        <v>6.9520925110133506E-3</v>
      </c>
      <c r="AK118" s="2">
        <v>-8.4079567981406103E-3</v>
      </c>
    </row>
    <row r="119" spans="25:37" ht="12.75" customHeight="1" x14ac:dyDescent="0.25">
      <c r="Y119" s="4" t="s">
        <v>91</v>
      </c>
      <c r="Z119" s="2"/>
      <c r="AA119" s="2">
        <v>4.9211431281870428E-3</v>
      </c>
      <c r="AB119" s="2">
        <v>3.8940350463150101E-3</v>
      </c>
      <c r="AC119" s="2">
        <v>-1.3674209031246816E-2</v>
      </c>
      <c r="AD119" s="2">
        <v>1.3458597334498822E-2</v>
      </c>
      <c r="AE119" s="2">
        <v>-8.2136851636272039E-3</v>
      </c>
      <c r="AF119" s="2">
        <v>3.5865666775351246E-3</v>
      </c>
      <c r="AG119" s="2">
        <v>4.3534762833007633E-3</v>
      </c>
      <c r="AH119" s="2">
        <v>5.8226046451444477E-3</v>
      </c>
      <c r="AI119" s="2">
        <v>5.0170450890847191E-3</v>
      </c>
      <c r="AJ119" s="2">
        <v>4.2240000000001608E-3</v>
      </c>
      <c r="AK119" s="2">
        <v>4.015040469058667E-3</v>
      </c>
    </row>
    <row r="120" spans="25:37" ht="12.75" customHeight="1" x14ac:dyDescent="0.25">
      <c r="Y120" s="4" t="s">
        <v>92</v>
      </c>
      <c r="Z120" s="2"/>
      <c r="AA120" s="2">
        <v>4.6675191815858308E-3</v>
      </c>
      <c r="AB120" s="2">
        <v>3.3093616750461147E-3</v>
      </c>
      <c r="AC120" s="2">
        <v>-3.925714487084544E-3</v>
      </c>
      <c r="AD120" s="2">
        <v>9.8381070983812151E-3</v>
      </c>
      <c r="AE120" s="2">
        <v>-1.9908435072142093E-2</v>
      </c>
      <c r="AF120" s="2">
        <v>4.0342557859718645E-3</v>
      </c>
      <c r="AG120" s="2">
        <v>5.2869025800084592E-3</v>
      </c>
      <c r="AH120" s="2">
        <v>4.3475212116962664E-3</v>
      </c>
      <c r="AI120" s="2">
        <v>4.9570620680025696E-3</v>
      </c>
      <c r="AJ120" s="2">
        <v>5.2105043768236768E-3</v>
      </c>
      <c r="AK120" s="2">
        <v>4.0776833229663658E-3</v>
      </c>
    </row>
    <row r="121" spans="25:37" ht="12.75" customHeight="1" x14ac:dyDescent="0.25">
      <c r="Y121" s="4" t="s">
        <v>93</v>
      </c>
      <c r="Z121" s="2"/>
      <c r="AA121" s="2">
        <v>4.8871928767489636E-3</v>
      </c>
      <c r="AB121" s="2">
        <v>3.6642238507661562E-3</v>
      </c>
      <c r="AC121" s="2">
        <v>-1.4529630858869365E-3</v>
      </c>
      <c r="AD121" s="2">
        <v>9.1728956776081678E-3</v>
      </c>
      <c r="AE121" s="2">
        <v>-2.2389681907108203E-2</v>
      </c>
      <c r="AF121" s="2">
        <v>4.1506077675655603E-3</v>
      </c>
      <c r="AG121" s="2">
        <v>4.6501328609392717E-3</v>
      </c>
      <c r="AH121" s="2">
        <v>4.0408493130557003E-3</v>
      </c>
      <c r="AI121" s="2">
        <v>4.317283769939605E-3</v>
      </c>
      <c r="AJ121" s="2">
        <v>3.6429872495448343E-3</v>
      </c>
      <c r="AK121" s="2">
        <v>3.8475499092557003E-3</v>
      </c>
    </row>
    <row r="122" spans="25:37" ht="12.75" customHeight="1" x14ac:dyDescent="0.25">
      <c r="Y122" s="4" t="s">
        <v>94</v>
      </c>
      <c r="Z122" s="2"/>
      <c r="AA122" s="2">
        <v>4.8918640576724815E-3</v>
      </c>
      <c r="AB122" s="2">
        <v>3.3948244939791075E-3</v>
      </c>
      <c r="AC122" s="2">
        <v>-3.8089158421107916E-3</v>
      </c>
      <c r="AD122" s="2">
        <v>9.8214285714286545E-3</v>
      </c>
      <c r="AE122" s="2">
        <v>-2.0312718134859867E-2</v>
      </c>
      <c r="AF122" s="2">
        <v>4.2750267189169532E-3</v>
      </c>
      <c r="AG122" s="2">
        <v>5.1791415395531625E-3</v>
      </c>
      <c r="AH122" s="2">
        <v>4.0937323546018072E-3</v>
      </c>
      <c r="AI122" s="2">
        <v>4.850274145929972E-3</v>
      </c>
      <c r="AJ122" s="2">
        <v>5.1066806575727052E-3</v>
      </c>
      <c r="AK122" s="2">
        <v>4.0367483296214679E-3</v>
      </c>
    </row>
    <row r="123" spans="25:37" ht="12.75" customHeight="1" x14ac:dyDescent="0.25">
      <c r="Y123" s="4" t="s">
        <v>95</v>
      </c>
      <c r="Z123" s="2"/>
      <c r="AA123" s="2">
        <v>7.1122818570959383E-3</v>
      </c>
      <c r="AB123" s="2">
        <v>2.0270712090498882E-3</v>
      </c>
      <c r="AC123" s="2">
        <v>-6.5257113025260404E-5</v>
      </c>
      <c r="AD123" s="2">
        <v>-1.7946877243359654E-3</v>
      </c>
      <c r="AE123" s="2">
        <v>-1.4527148507731104E-2</v>
      </c>
      <c r="AF123" s="2">
        <v>6.7868349996351657E-3</v>
      </c>
      <c r="AG123" s="2">
        <v>7.3934473760511026E-3</v>
      </c>
      <c r="AH123" s="2">
        <v>4.7488847316158305E-3</v>
      </c>
      <c r="AI123" s="2">
        <v>7.4477227155544294E-3</v>
      </c>
      <c r="AJ123" s="2">
        <v>4.5493318168892969E-3</v>
      </c>
      <c r="AK123" s="2">
        <v>-2.9719784885365659E-3</v>
      </c>
    </row>
    <row r="124" spans="25:37" ht="12.75" customHeight="1" x14ac:dyDescent="0.25">
      <c r="Y124" s="4" t="s">
        <v>96</v>
      </c>
      <c r="Z124" s="2"/>
      <c r="AA124" s="2">
        <v>7.407407407407347E-3</v>
      </c>
      <c r="AB124" s="2">
        <v>5.6306306306306876E-3</v>
      </c>
      <c r="AC124" s="2">
        <v>-1.3833080824702523E-4</v>
      </c>
      <c r="AD124" s="2">
        <v>3.840858033191025E-3</v>
      </c>
      <c r="AE124" s="2">
        <v>-2.5122725960150284E-2</v>
      </c>
      <c r="AF124" s="2">
        <v>5.035545023696522E-3</v>
      </c>
      <c r="AG124" s="2">
        <v>3.1682876510461125E-3</v>
      </c>
      <c r="AH124" s="2">
        <v>3.892765332354239E-3</v>
      </c>
      <c r="AI124" s="2">
        <v>7.1700321919814028E-3</v>
      </c>
      <c r="AJ124" s="2">
        <v>6.2472758971377678E-3</v>
      </c>
      <c r="AK124" s="2">
        <v>3.393011839445354E-3</v>
      </c>
    </row>
    <row r="125" spans="25:37" ht="12.75" customHeight="1" x14ac:dyDescent="0.25">
      <c r="Y125" s="4" t="s">
        <v>97</v>
      </c>
      <c r="Z125" s="2"/>
      <c r="AA125" s="2">
        <v>3.8063439065107296E-3</v>
      </c>
      <c r="AB125" s="2">
        <v>2.6609898882382923E-3</v>
      </c>
      <c r="AC125" s="2">
        <v>-8.6473814578906152E-3</v>
      </c>
      <c r="AD125" s="2">
        <v>1.1754601226993632E-2</v>
      </c>
      <c r="AE125" s="2">
        <v>-1.7536200247398444E-2</v>
      </c>
      <c r="AF125" s="2">
        <v>4.2215968004739521E-3</v>
      </c>
      <c r="AG125" s="2">
        <v>6.5639058927646418E-3</v>
      </c>
      <c r="AH125" s="2">
        <v>3.4437280187573191E-3</v>
      </c>
      <c r="AI125" s="2">
        <v>5.2573932092006377E-3</v>
      </c>
      <c r="AJ125" s="2">
        <v>3.9950606522843237E-3</v>
      </c>
      <c r="AK125" s="2">
        <v>3.9791636521488306E-3</v>
      </c>
    </row>
    <row r="126" spans="25:37" ht="12.75" customHeight="1" x14ac:dyDescent="0.25">
      <c r="Y126" s="4" t="s">
        <v>98</v>
      </c>
      <c r="Z126" s="2"/>
      <c r="AA126" s="2">
        <v>5.8494906342427535E-3</v>
      </c>
      <c r="AB126" s="2">
        <v>3.2671197072661673E-3</v>
      </c>
      <c r="AC126" s="2">
        <v>-2.4488732577832044E-3</v>
      </c>
      <c r="AD126" s="2">
        <v>3.0881930479749733E-3</v>
      </c>
      <c r="AE126" s="2">
        <v>-1.9474475549509752E-2</v>
      </c>
      <c r="AF126" s="2">
        <v>4.0160642570281962E-3</v>
      </c>
      <c r="AG126" s="2">
        <v>4.8000000000001817E-3</v>
      </c>
      <c r="AH126" s="2">
        <v>3.763752171395351E-3</v>
      </c>
      <c r="AI126" s="2">
        <v>6.8503028554945814E-3</v>
      </c>
      <c r="AJ126" s="2">
        <v>4.7267779130561131E-3</v>
      </c>
      <c r="AK126" s="2">
        <v>6.1301589564474552E-3</v>
      </c>
    </row>
    <row r="127" spans="25:37" ht="12.75" customHeight="1" x14ac:dyDescent="0.25">
      <c r="Y127" s="4" t="s">
        <v>99</v>
      </c>
      <c r="Z127" s="2"/>
      <c r="AA127" s="2">
        <v>4.6867113706830646E-3</v>
      </c>
      <c r="AB127" s="2">
        <v>3.8036457585759382E-3</v>
      </c>
      <c r="AC127" s="2">
        <v>5.1635248603862675E-3</v>
      </c>
      <c r="AD127" s="2">
        <v>2.495001304007679E-3</v>
      </c>
      <c r="AE127" s="2">
        <v>-2.0057753843752274E-2</v>
      </c>
      <c r="AF127" s="2">
        <v>4.8582351067217675E-3</v>
      </c>
      <c r="AG127" s="2">
        <v>4.5177141951332706E-3</v>
      </c>
      <c r="AH127" s="2">
        <v>5.0497080637527947E-3</v>
      </c>
      <c r="AI127" s="2">
        <v>2.2766525357199425E-3</v>
      </c>
      <c r="AJ127" s="2">
        <v>-4.6996161980095608E-4</v>
      </c>
      <c r="AK127" s="2">
        <v>2.3509129378575123E-3</v>
      </c>
    </row>
    <row r="128" spans="25:37" ht="12.75" customHeight="1" x14ac:dyDescent="0.25">
      <c r="Y128" s="4" t="s">
        <v>100</v>
      </c>
      <c r="Z128" s="2"/>
      <c r="AA128" s="2">
        <v>4.7925510064356332E-3</v>
      </c>
      <c r="AB128" s="2">
        <v>3.8838920686838675E-3</v>
      </c>
      <c r="AC128" s="2">
        <v>-7.1570246687334286E-3</v>
      </c>
      <c r="AD128" s="2">
        <v>9.6423796791446654E-3</v>
      </c>
      <c r="AE128" s="2">
        <v>-1.4821987189036052E-2</v>
      </c>
      <c r="AF128" s="2">
        <v>3.9313525364782767E-3</v>
      </c>
      <c r="AG128" s="2">
        <v>3.0875818962268855E-3</v>
      </c>
      <c r="AH128" s="2">
        <v>4.0540540540542078E-3</v>
      </c>
      <c r="AI128" s="2">
        <v>4.5610886795273307E-3</v>
      </c>
      <c r="AJ128" s="2">
        <v>4.6148120580573474E-3</v>
      </c>
      <c r="AK128" s="2">
        <v>2.2968066977847095E-3</v>
      </c>
    </row>
    <row r="129" spans="25:37" ht="12.75" customHeight="1" x14ac:dyDescent="0.25">
      <c r="Y129" s="4" t="s">
        <v>101</v>
      </c>
      <c r="Z129" s="2"/>
      <c r="AA129" s="2">
        <v>1.820546163849329E-3</v>
      </c>
      <c r="AB129" s="2">
        <v>2.2066458982347055E-3</v>
      </c>
      <c r="AC129" s="2">
        <v>-1.3879894659586542E-2</v>
      </c>
      <c r="AD129" s="2">
        <v>1.3628702143029267E-2</v>
      </c>
      <c r="AE129" s="2">
        <v>-7.4116305587228629E-3</v>
      </c>
      <c r="AF129" s="2">
        <v>1.0626076967260121E-2</v>
      </c>
      <c r="AG129" s="2">
        <v>7.2463768115942758E-3</v>
      </c>
      <c r="AH129" s="2">
        <v>1.4106361969249334E-3</v>
      </c>
      <c r="AI129" s="2">
        <v>3.5216227637695444E-3</v>
      </c>
      <c r="AJ129" s="2">
        <v>2.1055586749014212E-3</v>
      </c>
      <c r="AK129" s="2">
        <v>3.2917775598823289E-3</v>
      </c>
    </row>
    <row r="130" spans="25:37" ht="12.75" customHeight="1" x14ac:dyDescent="0.25">
      <c r="Y130" s="4" t="s">
        <v>102</v>
      </c>
      <c r="Z130" s="2"/>
      <c r="AA130" s="2">
        <v>6.5735414954804913E-3</v>
      </c>
      <c r="AB130" s="2">
        <v>2.0408163265306705E-3</v>
      </c>
      <c r="AC130" s="2">
        <v>-2.4741645922910205E-3</v>
      </c>
      <c r="AD130" s="2">
        <v>4.2089502578608754E-3</v>
      </c>
      <c r="AE130" s="2">
        <v>-2.273743849709246E-2</v>
      </c>
      <c r="AF130" s="2">
        <v>3.585323060492565E-3</v>
      </c>
      <c r="AG130" s="2">
        <v>9.1213134691396861E-3</v>
      </c>
      <c r="AH130" s="2">
        <v>7.3817414883998282E-3</v>
      </c>
      <c r="AI130" s="2">
        <v>2.7665619859429088E-3</v>
      </c>
      <c r="AJ130" s="2">
        <v>3.206323167549078E-3</v>
      </c>
      <c r="AK130" s="2">
        <v>1.2635647391109521E-3</v>
      </c>
    </row>
    <row r="131" spans="25:37" ht="12.75" customHeight="1" x14ac:dyDescent="0.25">
      <c r="Y131" s="4" t="s">
        <v>103</v>
      </c>
      <c r="Z131" s="2"/>
      <c r="AA131" s="2">
        <v>4.5634109794302777E-3</v>
      </c>
      <c r="AB131" s="2">
        <v>3.0510543087668898E-3</v>
      </c>
      <c r="AC131" s="2">
        <v>-5.3024499421686451E-3</v>
      </c>
      <c r="AD131" s="2">
        <v>8.3887043189369674E-3</v>
      </c>
      <c r="AE131" s="2">
        <v>-1.7494440326167423E-2</v>
      </c>
      <c r="AF131" s="2">
        <v>5.205975554549552E-3</v>
      </c>
      <c r="AG131" s="2">
        <v>5.7044209262175367E-3</v>
      </c>
      <c r="AH131" s="2">
        <v>4.2540488096128194E-3</v>
      </c>
      <c r="AI131" s="2">
        <v>4.2360285374555707E-3</v>
      </c>
      <c r="AJ131" s="2">
        <v>2.4420927995260533E-3</v>
      </c>
      <c r="AK131" s="2">
        <v>3.3220138786358862E-3</v>
      </c>
    </row>
    <row r="132" spans="25:37" ht="12.75" customHeight="1" x14ac:dyDescent="0.25">
      <c r="Y132" s="4" t="s">
        <v>104</v>
      </c>
      <c r="Z132" s="2"/>
      <c r="AA132" s="2">
        <v>0</v>
      </c>
      <c r="AB132" s="2">
        <v>2.301874383426673E-3</v>
      </c>
      <c r="AC132" s="2">
        <v>-2.8142315543892783E-3</v>
      </c>
      <c r="AD132" s="2">
        <v>9.9485282290495223E-3</v>
      </c>
      <c r="AE132" s="2">
        <v>-1.2255428940012957E-2</v>
      </c>
      <c r="AF132" s="2">
        <v>9.1423595994775137E-3</v>
      </c>
      <c r="AG132" s="2">
        <v>7.1901064135749216E-3</v>
      </c>
      <c r="AH132" s="2">
        <v>2.6413478012566605E-3</v>
      </c>
      <c r="AI132" s="2">
        <v>7.5471698113205674E-3</v>
      </c>
      <c r="AJ132" s="2">
        <v>5.4413115680871336E-3</v>
      </c>
      <c r="AK132" s="2">
        <v>-2.7410739387125019E-3</v>
      </c>
    </row>
  </sheetData>
  <sortState xmlns:xlrd2="http://schemas.microsoft.com/office/spreadsheetml/2017/richdata2" ref="Y49:Z75">
    <sortCondition descending="1" ref="Z49:Z75"/>
  </sortState>
  <conditionalFormatting pivot="1" sqref="C5:C11">
    <cfRule type="top10" dxfId="65" priority="78" rank="1"/>
  </conditionalFormatting>
  <conditionalFormatting pivot="1" sqref="W6:W32">
    <cfRule type="top10" dxfId="64" priority="49" bottom="1" rank="3"/>
  </conditionalFormatting>
  <conditionalFormatting pivot="1" sqref="W6:W32">
    <cfRule type="top10" dxfId="63" priority="48" rank="3"/>
  </conditionalFormatting>
  <conditionalFormatting pivot="1" sqref="V6:V31">
    <cfRule type="top10" dxfId="62" priority="47" bottom="1" rank="3"/>
  </conditionalFormatting>
  <conditionalFormatting pivot="1" sqref="V6:V31">
    <cfRule type="top10" dxfId="61" priority="46" rank="3"/>
  </conditionalFormatting>
  <conditionalFormatting pivot="1" sqref="T6:T32">
    <cfRule type="top10" dxfId="60" priority="25" bottom="1" rank="3"/>
  </conditionalFormatting>
  <conditionalFormatting pivot="1" sqref="T6:T32">
    <cfRule type="top10" dxfId="59" priority="24" rank="3"/>
  </conditionalFormatting>
  <conditionalFormatting sqref="W49:W75">
    <cfRule type="top10" dxfId="58" priority="23" bottom="1" rank="3"/>
  </conditionalFormatting>
  <conditionalFormatting sqref="W49:W75">
    <cfRule type="top10" dxfId="57" priority="22" rank="3"/>
  </conditionalFormatting>
  <conditionalFormatting sqref="V49:V74">
    <cfRule type="top10" dxfId="56" priority="21" bottom="1" rank="3"/>
  </conditionalFormatting>
  <conditionalFormatting sqref="V49:V74">
    <cfRule type="top10" dxfId="55" priority="20" rank="3"/>
  </conditionalFormatting>
  <conditionalFormatting sqref="T49:T75">
    <cfRule type="top10" dxfId="54" priority="19" bottom="1" rank="3"/>
  </conditionalFormatting>
  <conditionalFormatting sqref="T49:T75">
    <cfRule type="top10" dxfId="53" priority="18" rank="3"/>
  </conditionalFormatting>
  <conditionalFormatting sqref="Z49:Z74">
    <cfRule type="top10" dxfId="52" priority="17" bottom="1" rank="3"/>
  </conditionalFormatting>
  <conditionalFormatting sqref="Z49:Z74">
    <cfRule type="top10" dxfId="51" priority="16" rank="3"/>
  </conditionalFormatting>
  <conditionalFormatting sqref="AQ48:AQ54">
    <cfRule type="top10" dxfId="50" priority="15" rank="1"/>
  </conditionalFormatting>
  <conditionalFormatting sqref="Z83:Z86">
    <cfRule type="top10" dxfId="49" priority="79" bottom="1" rank="3"/>
  </conditionalFormatting>
  <conditionalFormatting sqref="Z83:Z86">
    <cfRule type="top10" dxfId="48" priority="81" rank="3"/>
  </conditionalFormatting>
  <conditionalFormatting sqref="Z87">
    <cfRule type="top10" dxfId="47" priority="12" bottom="1" rank="3"/>
  </conditionalFormatting>
  <conditionalFormatting sqref="Z87">
    <cfRule type="top10" dxfId="46" priority="11" rank="3"/>
  </conditionalFormatting>
  <conditionalFormatting sqref="P83">
    <cfRule type="top10" dxfId="45" priority="10" bottom="1" rank="3"/>
  </conditionalFormatting>
  <conditionalFormatting sqref="P83">
    <cfRule type="top10" dxfId="44" priority="9" rank="3"/>
  </conditionalFormatting>
  <conditionalFormatting sqref="P84">
    <cfRule type="top10" dxfId="43" priority="8" bottom="1" rank="3"/>
  </conditionalFormatting>
  <conditionalFormatting sqref="P84">
    <cfRule type="top10" dxfId="42" priority="7" rank="3"/>
  </conditionalFormatting>
  <conditionalFormatting sqref="P85">
    <cfRule type="top10" dxfId="41" priority="6" bottom="1" rank="3"/>
  </conditionalFormatting>
  <conditionalFormatting sqref="P85">
    <cfRule type="top10" dxfId="40" priority="5" rank="3"/>
  </conditionalFormatting>
  <conditionalFormatting sqref="P86">
    <cfRule type="top10" dxfId="39" priority="4" bottom="1" rank="3"/>
  </conditionalFormatting>
  <conditionalFormatting sqref="P86">
    <cfRule type="top10" dxfId="38" priority="3" rank="3"/>
  </conditionalFormatting>
  <conditionalFormatting sqref="P87">
    <cfRule type="top10" dxfId="37" priority="2" bottom="1" rank="3"/>
  </conditionalFormatting>
  <conditionalFormatting sqref="P87">
    <cfRule type="top10" dxfId="36" priority="1" rank="3"/>
  </conditionalFormatting>
  <pageMargins left="0.7" right="0.7" top="0.75" bottom="0.75" header="0.3" footer="0.3"/>
  <drawing r:id="rId9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4B28-D929-4CDD-8B99-43C1B6C7101D}">
  <dimension ref="A2:Q61"/>
  <sheetViews>
    <sheetView workbookViewId="0">
      <selection activeCell="G22" sqref="G22"/>
    </sheetView>
  </sheetViews>
  <sheetFormatPr defaultRowHeight="13.2" x14ac:dyDescent="0.25"/>
  <cols>
    <col min="1" max="1" width="23.33203125" customWidth="1"/>
    <col min="2" max="2" width="16.88671875" customWidth="1"/>
    <col min="3" max="3" width="9.88671875" customWidth="1"/>
    <col min="4" max="4" width="11.33203125" customWidth="1"/>
    <col min="5" max="5" width="14.109375" bestFit="1" customWidth="1"/>
    <col min="6" max="6" width="6.5546875" bestFit="1" customWidth="1"/>
    <col min="7" max="7" width="36.44140625" customWidth="1"/>
    <col min="8" max="8" width="16.88671875" bestFit="1" customWidth="1"/>
    <col min="9" max="9" width="7.109375" customWidth="1"/>
    <col min="10" max="10" width="26.88671875" customWidth="1"/>
    <col min="11" max="11" width="22.33203125" bestFit="1" customWidth="1"/>
    <col min="12" max="12" width="7" bestFit="1" customWidth="1"/>
    <col min="13" max="13" width="6.5546875" bestFit="1" customWidth="1"/>
    <col min="14" max="14" width="7" bestFit="1" customWidth="1"/>
    <col min="15" max="15" width="36.44140625" customWidth="1"/>
    <col min="16" max="16" width="16.88671875" customWidth="1"/>
    <col min="17" max="17" width="7.109375" customWidth="1"/>
    <col min="18" max="18" width="6.88671875" bestFit="1" customWidth="1"/>
    <col min="19" max="19" width="6.6640625" bestFit="1" customWidth="1"/>
    <col min="20" max="20" width="7.109375" bestFit="1" customWidth="1"/>
    <col min="21" max="21" width="11.88671875" bestFit="1" customWidth="1"/>
    <col min="22" max="34" width="5.88671875" bestFit="1" customWidth="1"/>
    <col min="35" max="35" width="4" bestFit="1" customWidth="1"/>
    <col min="36" max="40" width="5.88671875" bestFit="1" customWidth="1"/>
    <col min="41" max="41" width="11.33203125" bestFit="1" customWidth="1"/>
    <col min="42" max="42" width="11.88671875" bestFit="1" customWidth="1"/>
    <col min="43" max="43" width="5.88671875" bestFit="1" customWidth="1"/>
    <col min="44" max="44" width="5" bestFit="1" customWidth="1"/>
    <col min="45" max="68" width="5.88671875" bestFit="1" customWidth="1"/>
    <col min="69" max="69" width="5" bestFit="1" customWidth="1"/>
    <col min="70" max="74" width="5.88671875" bestFit="1" customWidth="1"/>
    <col min="75" max="75" width="11.88671875" bestFit="1" customWidth="1"/>
    <col min="76" max="76" width="21.33203125" bestFit="1" customWidth="1"/>
    <col min="77" max="85" width="11.88671875" bestFit="1" customWidth="1"/>
    <col min="86" max="86" width="21.33203125" bestFit="1" customWidth="1"/>
  </cols>
  <sheetData>
    <row r="2" spans="1:17" x14ac:dyDescent="0.25">
      <c r="H2" s="3" t="s">
        <v>106</v>
      </c>
      <c r="P2" s="3" t="s">
        <v>106</v>
      </c>
    </row>
    <row r="3" spans="1:17" x14ac:dyDescent="0.25">
      <c r="A3" s="3" t="s">
        <v>61</v>
      </c>
      <c r="B3" s="6" t="s">
        <v>70</v>
      </c>
      <c r="C3" t="s">
        <v>107</v>
      </c>
      <c r="D3" t="s">
        <v>108</v>
      </c>
      <c r="G3" s="3" t="s">
        <v>66</v>
      </c>
      <c r="H3" s="10">
        <v>44682</v>
      </c>
      <c r="I3" s="10">
        <v>45047</v>
      </c>
      <c r="O3" s="3" t="s">
        <v>66</v>
      </c>
      <c r="P3" s="10">
        <v>44682</v>
      </c>
      <c r="Q3" s="10">
        <v>45047</v>
      </c>
    </row>
    <row r="4" spans="1:17" x14ac:dyDescent="0.25">
      <c r="A4" s="9">
        <v>44682</v>
      </c>
      <c r="B4" s="6">
        <v>172.5102564102564</v>
      </c>
      <c r="C4" s="2"/>
      <c r="D4" s="6"/>
      <c r="G4" s="4" t="s">
        <v>109</v>
      </c>
      <c r="H4" s="6">
        <v>154.56666666666663</v>
      </c>
      <c r="I4" s="6">
        <v>173.86666666666665</v>
      </c>
      <c r="J4" s="11">
        <f>(I4-H4)/H4</f>
        <v>0.1248652145783913</v>
      </c>
      <c r="O4" s="4" t="s">
        <v>109</v>
      </c>
      <c r="P4" s="6">
        <v>154.56666666666663</v>
      </c>
      <c r="Q4" s="6">
        <v>173.86666666666665</v>
      </c>
    </row>
    <row r="5" spans="1:17" x14ac:dyDescent="0.25">
      <c r="A5" s="9">
        <v>44713</v>
      </c>
      <c r="B5" s="6">
        <v>174.29999999999998</v>
      </c>
      <c r="C5" s="2">
        <v>1.0374708304225631E-2</v>
      </c>
      <c r="D5" s="6">
        <v>1.7897435897435798</v>
      </c>
      <c r="E5" s="13" t="s">
        <v>110</v>
      </c>
      <c r="G5" s="4" t="s">
        <v>111</v>
      </c>
      <c r="H5" s="6">
        <v>217.63333333333333</v>
      </c>
      <c r="I5" s="6">
        <v>215.06666666666669</v>
      </c>
      <c r="J5" s="11">
        <f t="shared" ref="J5:J16" si="0">(I5-H5)/H5</f>
        <v>-1.1793536529330531E-2</v>
      </c>
      <c r="O5" s="4" t="s">
        <v>111</v>
      </c>
      <c r="P5" s="6">
        <v>217.63333333333333</v>
      </c>
      <c r="Q5" s="6">
        <v>215.06666666666669</v>
      </c>
    </row>
    <row r="6" spans="1:17" x14ac:dyDescent="0.25">
      <c r="A6" s="9">
        <v>44743</v>
      </c>
      <c r="B6" s="6">
        <v>174.62564102564102</v>
      </c>
      <c r="C6" s="2">
        <v>1.8682789767127562E-3</v>
      </c>
      <c r="D6" s="6">
        <v>0.32564102564103337</v>
      </c>
      <c r="G6" s="4" t="s">
        <v>112</v>
      </c>
      <c r="H6" s="6">
        <v>162.63333333333333</v>
      </c>
      <c r="I6" s="6">
        <v>173.63333333333333</v>
      </c>
      <c r="J6" s="11">
        <f t="shared" si="0"/>
        <v>6.7636810821889728E-2</v>
      </c>
      <c r="O6" s="4" t="s">
        <v>112</v>
      </c>
      <c r="P6" s="6">
        <v>162.63333333333333</v>
      </c>
      <c r="Q6" s="6">
        <v>173.63333333333333</v>
      </c>
    </row>
    <row r="7" spans="1:17" x14ac:dyDescent="0.25">
      <c r="A7" s="9">
        <v>44774</v>
      </c>
      <c r="B7" s="6">
        <v>174.83846153846153</v>
      </c>
      <c r="C7" s="2">
        <v>1.2187243040056442E-3</v>
      </c>
      <c r="D7" s="6">
        <v>0.21282051282051384</v>
      </c>
      <c r="G7" s="4" t="s">
        <v>113</v>
      </c>
      <c r="H7" s="6">
        <v>164.96666666666667</v>
      </c>
      <c r="I7" s="6">
        <v>179.5</v>
      </c>
      <c r="J7" s="11">
        <f t="shared" si="0"/>
        <v>8.8098605778945224E-2</v>
      </c>
      <c r="O7" s="4" t="s">
        <v>113</v>
      </c>
      <c r="P7" s="6">
        <v>164.96666666666667</v>
      </c>
      <c r="Q7" s="6">
        <v>179.5</v>
      </c>
    </row>
    <row r="8" spans="1:17" x14ac:dyDescent="0.25">
      <c r="A8" s="9">
        <v>44805</v>
      </c>
      <c r="B8" s="6">
        <v>175.7717948717949</v>
      </c>
      <c r="C8" s="2">
        <v>5.3382609588339801E-3</v>
      </c>
      <c r="D8" s="6">
        <v>0.93333333333336554</v>
      </c>
      <c r="G8" s="4" t="s">
        <v>114</v>
      </c>
      <c r="H8" s="6">
        <v>200.6</v>
      </c>
      <c r="I8" s="6">
        <v>169.23333333333332</v>
      </c>
      <c r="J8" s="11">
        <f t="shared" si="0"/>
        <v>-0.15636424061149887</v>
      </c>
      <c r="O8" s="4" t="s">
        <v>114</v>
      </c>
      <c r="P8" s="6">
        <v>200.6</v>
      </c>
      <c r="Q8" s="6">
        <v>169.23333333333332</v>
      </c>
    </row>
    <row r="9" spans="1:17" x14ac:dyDescent="0.25">
      <c r="A9" s="9">
        <v>44835</v>
      </c>
      <c r="B9" s="6">
        <v>177.02820512820514</v>
      </c>
      <c r="C9" s="2">
        <v>7.1479628305932347E-3</v>
      </c>
      <c r="D9" s="6">
        <v>1.2564102564102484</v>
      </c>
      <c r="G9" s="4" t="s">
        <v>115</v>
      </c>
      <c r="H9" s="6">
        <v>171.16666666666666</v>
      </c>
      <c r="I9" s="6">
        <v>172.33333333333334</v>
      </c>
      <c r="J9" s="11">
        <f t="shared" si="0"/>
        <v>6.815968841285408E-3</v>
      </c>
      <c r="O9" s="4" t="s">
        <v>115</v>
      </c>
      <c r="P9" s="6">
        <v>171.16666666666666</v>
      </c>
      <c r="Q9" s="6">
        <v>172.33333333333334</v>
      </c>
    </row>
    <row r="10" spans="1:17" x14ac:dyDescent="0.25">
      <c r="A10" s="9">
        <v>44866</v>
      </c>
      <c r="B10" s="6">
        <v>176.89487179487182</v>
      </c>
      <c r="C10" s="2">
        <v>-7.5317564925185087E-4</v>
      </c>
      <c r="D10" s="6">
        <v>-0.13333333333332575</v>
      </c>
      <c r="G10" s="4" t="s">
        <v>116</v>
      </c>
      <c r="H10" s="6">
        <v>179.5</v>
      </c>
      <c r="I10" s="6">
        <v>164.9</v>
      </c>
      <c r="J10" s="11">
        <f t="shared" si="0"/>
        <v>-8.1337047353760419E-2</v>
      </c>
      <c r="O10" s="4" t="s">
        <v>116</v>
      </c>
      <c r="P10" s="6">
        <v>179.5</v>
      </c>
      <c r="Q10" s="6">
        <v>164.9</v>
      </c>
    </row>
    <row r="11" spans="1:17" x14ac:dyDescent="0.25">
      <c r="A11" s="9">
        <v>44896</v>
      </c>
      <c r="B11" s="6">
        <v>175.80256410256411</v>
      </c>
      <c r="C11" s="2">
        <v>-6.1748974474192713E-3</v>
      </c>
      <c r="D11" s="6">
        <v>-1.0923076923077133</v>
      </c>
      <c r="E11" s="14" t="s">
        <v>117</v>
      </c>
      <c r="G11" s="4" t="s">
        <v>118</v>
      </c>
      <c r="H11" s="6">
        <v>164.6</v>
      </c>
      <c r="I11" s="6">
        <v>175.79999999999998</v>
      </c>
      <c r="J11" s="11">
        <f t="shared" si="0"/>
        <v>6.8043742405832261E-2</v>
      </c>
      <c r="O11" s="4" t="s">
        <v>118</v>
      </c>
      <c r="P11" s="6">
        <v>164.6</v>
      </c>
      <c r="Q11" s="6">
        <v>175.79999999999998</v>
      </c>
    </row>
    <row r="12" spans="1:17" x14ac:dyDescent="0.25">
      <c r="A12" s="9">
        <v>44927</v>
      </c>
      <c r="B12" s="6">
        <v>176.56666666666669</v>
      </c>
      <c r="C12" s="2">
        <v>4.3463675743478066E-3</v>
      </c>
      <c r="D12" s="6">
        <v>0.76410256410258626</v>
      </c>
      <c r="G12" s="4" t="s">
        <v>119</v>
      </c>
      <c r="H12" s="6">
        <v>119.93333333333334</v>
      </c>
      <c r="I12" s="6">
        <v>122.93333333333334</v>
      </c>
      <c r="J12" s="11">
        <f t="shared" si="0"/>
        <v>2.5013896609227346E-2</v>
      </c>
      <c r="O12" s="4" t="s">
        <v>119</v>
      </c>
      <c r="P12" s="6">
        <v>119.93333333333334</v>
      </c>
      <c r="Q12" s="6">
        <v>122.93333333333334</v>
      </c>
    </row>
    <row r="13" spans="1:17" x14ac:dyDescent="0.25">
      <c r="A13" s="9">
        <v>44958</v>
      </c>
      <c r="B13" s="6">
        <v>175.58974358974356</v>
      </c>
      <c r="C13" s="2">
        <v>-5.53288508735017E-3</v>
      </c>
      <c r="D13" s="6">
        <v>-0.97692307692312852</v>
      </c>
      <c r="G13" s="4" t="s">
        <v>120</v>
      </c>
      <c r="H13" s="6">
        <v>184.29999999999998</v>
      </c>
      <c r="I13" s="6">
        <v>216.96666666666667</v>
      </c>
      <c r="J13" s="11">
        <f t="shared" si="0"/>
        <v>0.17724724181588003</v>
      </c>
      <c r="K13" s="12" t="s">
        <v>121</v>
      </c>
      <c r="O13" s="4" t="s">
        <v>120</v>
      </c>
      <c r="P13" s="6">
        <v>184.29999999999998</v>
      </c>
      <c r="Q13" s="6">
        <v>216.96666666666667</v>
      </c>
    </row>
    <row r="14" spans="1:17" x14ac:dyDescent="0.25">
      <c r="A14" s="9">
        <v>44986</v>
      </c>
      <c r="B14" s="6">
        <v>175.6</v>
      </c>
      <c r="C14" s="2">
        <v>5.8411214953392231E-5</v>
      </c>
      <c r="D14" s="6">
        <v>1.0256410256431536E-2</v>
      </c>
      <c r="G14" s="4" t="s">
        <v>122</v>
      </c>
      <c r="H14" s="6">
        <v>166.26666666666668</v>
      </c>
      <c r="I14" s="6">
        <v>172.66666666666666</v>
      </c>
      <c r="J14" s="11">
        <f t="shared" si="0"/>
        <v>3.8492381716118546E-2</v>
      </c>
      <c r="O14" s="4" t="s">
        <v>122</v>
      </c>
      <c r="P14" s="6">
        <v>166.26666666666668</v>
      </c>
      <c r="Q14" s="6">
        <v>172.66666666666666</v>
      </c>
    </row>
    <row r="15" spans="1:17" x14ac:dyDescent="0.25">
      <c r="A15" s="9">
        <v>45017</v>
      </c>
      <c r="B15" s="6">
        <v>176.44871794871793</v>
      </c>
      <c r="C15" s="2">
        <v>4.8332457216283221E-3</v>
      </c>
      <c r="D15" s="6">
        <v>0.84871794871793327</v>
      </c>
      <c r="G15" s="4" t="s">
        <v>123</v>
      </c>
      <c r="H15" s="6">
        <v>182.6</v>
      </c>
      <c r="I15" s="6">
        <v>194.33333333333334</v>
      </c>
      <c r="J15" s="11">
        <f t="shared" si="0"/>
        <v>6.425702811244989E-2</v>
      </c>
      <c r="O15" s="4" t="s">
        <v>123</v>
      </c>
      <c r="P15" s="6">
        <v>182.6</v>
      </c>
      <c r="Q15" s="6">
        <v>194.33333333333334</v>
      </c>
    </row>
    <row r="16" spans="1:17" x14ac:dyDescent="0.25">
      <c r="A16" s="9">
        <v>45047</v>
      </c>
      <c r="B16" s="6">
        <v>177.76153846153849</v>
      </c>
      <c r="C16" s="2">
        <v>7.4402383201339888E-3</v>
      </c>
      <c r="D16" s="6">
        <v>1.312820512820565</v>
      </c>
      <c r="G16" s="4" t="s">
        <v>124</v>
      </c>
      <c r="H16" s="6">
        <v>173.86666666666667</v>
      </c>
      <c r="I16" s="6">
        <v>179.66666666666666</v>
      </c>
      <c r="J16" s="11">
        <f t="shared" si="0"/>
        <v>3.335889570552137E-2</v>
      </c>
      <c r="O16" s="4" t="s">
        <v>124</v>
      </c>
      <c r="P16" s="6">
        <v>173.86666666666667</v>
      </c>
      <c r="Q16" s="6">
        <v>179.66666666666666</v>
      </c>
    </row>
    <row r="17" spans="1:5" x14ac:dyDescent="0.25">
      <c r="A17" s="9" t="s">
        <v>80</v>
      </c>
      <c r="B17" s="6">
        <v>175.67218934911244</v>
      </c>
      <c r="C17" s="2"/>
    </row>
    <row r="25" spans="1:5" x14ac:dyDescent="0.25">
      <c r="A25" s="3" t="s">
        <v>125</v>
      </c>
      <c r="B25" s="3" t="s">
        <v>106</v>
      </c>
    </row>
    <row r="26" spans="1:5" x14ac:dyDescent="0.25">
      <c r="A26" s="3" t="s">
        <v>61</v>
      </c>
      <c r="B26" t="s">
        <v>37</v>
      </c>
      <c r="C26" t="s">
        <v>51</v>
      </c>
      <c r="D26" t="s">
        <v>80</v>
      </c>
    </row>
    <row r="27" spans="1:5" x14ac:dyDescent="0.25">
      <c r="A27" s="4">
        <v>2017</v>
      </c>
      <c r="B27" s="6">
        <v>130.16666666666666</v>
      </c>
      <c r="C27" s="6">
        <v>137.03333333333333</v>
      </c>
      <c r="D27" s="6">
        <v>133.60000000000002</v>
      </c>
      <c r="E27" s="5">
        <f>(C27-B27)/B27</f>
        <v>5.2752880921895069E-2</v>
      </c>
    </row>
    <row r="28" spans="1:5" x14ac:dyDescent="0.25">
      <c r="A28" s="4">
        <v>2018</v>
      </c>
      <c r="B28" s="6">
        <v>136.76666666666668</v>
      </c>
      <c r="C28" s="6">
        <v>140</v>
      </c>
      <c r="D28" s="6">
        <v>138.38333333333333</v>
      </c>
      <c r="E28" s="5">
        <f t="shared" ref="E28:E33" si="1">(C28-B28)/B28</f>
        <v>2.3641238118449814E-2</v>
      </c>
    </row>
    <row r="29" spans="1:5" x14ac:dyDescent="0.25">
      <c r="A29" s="4">
        <v>2019</v>
      </c>
      <c r="B29" s="6">
        <v>139.53333333333333</v>
      </c>
      <c r="C29" s="6">
        <v>150.33333333333334</v>
      </c>
      <c r="D29" s="6">
        <v>144.93333333333331</v>
      </c>
      <c r="E29" s="5">
        <f t="shared" si="1"/>
        <v>7.7400860009555747E-2</v>
      </c>
    </row>
    <row r="30" spans="1:5" x14ac:dyDescent="0.25">
      <c r="A30" s="4">
        <v>2020</v>
      </c>
      <c r="B30" s="6">
        <v>150.1</v>
      </c>
      <c r="C30" s="6">
        <v>158.83333333333334</v>
      </c>
      <c r="D30" s="6">
        <v>154.46666666666667</v>
      </c>
      <c r="E30" s="5">
        <f t="shared" si="1"/>
        <v>5.8183433266711188E-2</v>
      </c>
    </row>
    <row r="31" spans="1:5" x14ac:dyDescent="0.25">
      <c r="A31" s="4">
        <v>2021</v>
      </c>
      <c r="B31" s="6">
        <v>157.26666666666668</v>
      </c>
      <c r="C31" s="6">
        <v>166.13333333333333</v>
      </c>
      <c r="D31" s="6">
        <v>161.70000000000002</v>
      </c>
      <c r="E31" s="5">
        <f t="shared" si="1"/>
        <v>5.6379821958456838E-2</v>
      </c>
    </row>
    <row r="32" spans="1:5" x14ac:dyDescent="0.25">
      <c r="A32" s="4">
        <v>2022</v>
      </c>
      <c r="B32" s="6">
        <v>165.70000000000002</v>
      </c>
      <c r="C32" s="6">
        <v>175.63333333333333</v>
      </c>
      <c r="D32" s="6">
        <v>170.66666666666666</v>
      </c>
      <c r="E32" s="5">
        <f t="shared" si="1"/>
        <v>5.994769664051483E-2</v>
      </c>
    </row>
    <row r="33" spans="1:11" x14ac:dyDescent="0.25">
      <c r="A33" s="4" t="s">
        <v>80</v>
      </c>
      <c r="B33" s="6">
        <v>146.58888888888887</v>
      </c>
      <c r="C33" s="6">
        <v>154.6611111111111</v>
      </c>
      <c r="D33" s="6">
        <v>150.625</v>
      </c>
      <c r="E33" s="5">
        <f t="shared" si="1"/>
        <v>5.5067081027817794E-2</v>
      </c>
    </row>
    <row r="34" spans="1:11" x14ac:dyDescent="0.25">
      <c r="E34" s="5"/>
    </row>
    <row r="44" spans="1:11" x14ac:dyDescent="0.25">
      <c r="A44" s="29" t="s">
        <v>61</v>
      </c>
      <c r="B44" s="40" t="s">
        <v>70</v>
      </c>
      <c r="C44" s="29" t="s">
        <v>107</v>
      </c>
      <c r="D44" s="29" t="s">
        <v>108</v>
      </c>
      <c r="J44" s="29" t="s">
        <v>66</v>
      </c>
    </row>
    <row r="45" spans="1:11" x14ac:dyDescent="0.25">
      <c r="A45" s="9">
        <v>44682</v>
      </c>
      <c r="B45" s="6">
        <v>172.5102564102564</v>
      </c>
      <c r="C45" s="2"/>
      <c r="D45" s="6"/>
      <c r="J45" s="4" t="s">
        <v>8</v>
      </c>
      <c r="K45" s="11">
        <v>-0.15636424061149887</v>
      </c>
    </row>
    <row r="46" spans="1:11" x14ac:dyDescent="0.25">
      <c r="A46" s="9">
        <v>44713</v>
      </c>
      <c r="B46" s="6">
        <v>174.29999999999998</v>
      </c>
      <c r="C46" s="2">
        <v>1.0374708304225631E-2</v>
      </c>
      <c r="D46" s="6">
        <v>1.7897435897435798</v>
      </c>
      <c r="J46" s="4" t="s">
        <v>10</v>
      </c>
      <c r="K46" s="11">
        <v>-8.1337047353760419E-2</v>
      </c>
    </row>
    <row r="47" spans="1:11" x14ac:dyDescent="0.25">
      <c r="A47" s="9">
        <v>44743</v>
      </c>
      <c r="B47" s="6">
        <v>174.62564102564102</v>
      </c>
      <c r="C47" s="2">
        <v>1.8682789767127562E-3</v>
      </c>
      <c r="D47" s="6">
        <v>0.32564102564103337</v>
      </c>
      <c r="J47" s="4" t="s">
        <v>5</v>
      </c>
      <c r="K47" s="11">
        <v>-1.1793536529330531E-2</v>
      </c>
    </row>
    <row r="48" spans="1:11" x14ac:dyDescent="0.25">
      <c r="A48" s="9">
        <v>44774</v>
      </c>
      <c r="B48" s="6">
        <v>174.83846153846153</v>
      </c>
      <c r="C48" s="2">
        <v>1.2187243040056442E-3</v>
      </c>
      <c r="D48" s="6">
        <v>0.21282051282051384</v>
      </c>
      <c r="J48" s="4" t="s">
        <v>9</v>
      </c>
      <c r="K48" s="11">
        <v>6.815968841285408E-3</v>
      </c>
    </row>
    <row r="49" spans="1:11" x14ac:dyDescent="0.25">
      <c r="A49" s="9">
        <v>44805</v>
      </c>
      <c r="B49" s="6">
        <v>175.7717948717949</v>
      </c>
      <c r="C49" s="2">
        <v>5.3382609588339801E-3</v>
      </c>
      <c r="D49" s="6">
        <v>0.93333333333336554</v>
      </c>
      <c r="J49" s="4" t="s">
        <v>12</v>
      </c>
      <c r="K49" s="11">
        <v>2.5013896609227346E-2</v>
      </c>
    </row>
    <row r="50" spans="1:11" x14ac:dyDescent="0.25">
      <c r="A50" s="9">
        <v>44835</v>
      </c>
      <c r="B50" s="6">
        <v>177.02820512820514</v>
      </c>
      <c r="C50" s="2">
        <v>7.1479628305932347E-3</v>
      </c>
      <c r="D50" s="6">
        <v>1.2564102564102484</v>
      </c>
      <c r="J50" s="4" t="s">
        <v>16</v>
      </c>
      <c r="K50" s="11">
        <v>3.335889570552137E-2</v>
      </c>
    </row>
    <row r="51" spans="1:11" x14ac:dyDescent="0.25">
      <c r="A51" s="9">
        <v>44866</v>
      </c>
      <c r="B51" s="6">
        <v>176.89487179487182</v>
      </c>
      <c r="C51" s="2">
        <v>-7.5317564925185087E-4</v>
      </c>
      <c r="D51" s="6">
        <v>-0.13333333333332575</v>
      </c>
      <c r="J51" s="4" t="s">
        <v>14</v>
      </c>
      <c r="K51" s="11">
        <v>3.8492381716118546E-2</v>
      </c>
    </row>
    <row r="52" spans="1:11" ht="26.4" x14ac:dyDescent="0.25">
      <c r="A52" s="9">
        <v>44896</v>
      </c>
      <c r="B52" s="6">
        <v>175.80256410256411</v>
      </c>
      <c r="C52" s="2">
        <v>-6.1748974474192713E-3</v>
      </c>
      <c r="D52" s="6">
        <v>-1.0923076923077133</v>
      </c>
      <c r="J52" s="41" t="s">
        <v>15</v>
      </c>
      <c r="K52" s="11">
        <v>6.425702811244989E-2</v>
      </c>
    </row>
    <row r="53" spans="1:11" x14ac:dyDescent="0.25">
      <c r="A53" s="9">
        <v>44927</v>
      </c>
      <c r="B53" s="6">
        <v>176.56666666666669</v>
      </c>
      <c r="C53" s="2">
        <v>4.3463675743478066E-3</v>
      </c>
      <c r="D53" s="6">
        <v>0.76410256410258626</v>
      </c>
      <c r="J53" s="4" t="s">
        <v>6</v>
      </c>
      <c r="K53" s="11">
        <v>6.7636810821889728E-2</v>
      </c>
    </row>
    <row r="54" spans="1:11" x14ac:dyDescent="0.25">
      <c r="A54" s="9">
        <v>44958</v>
      </c>
      <c r="B54" s="6">
        <v>175.58974358974356</v>
      </c>
      <c r="C54" s="2">
        <v>-5.53288508735017E-3</v>
      </c>
      <c r="D54" s="6">
        <v>-0.97692307692312852</v>
      </c>
      <c r="J54" s="4" t="s">
        <v>11</v>
      </c>
      <c r="K54" s="11">
        <v>6.8043742405832261E-2</v>
      </c>
    </row>
    <row r="55" spans="1:11" x14ac:dyDescent="0.25">
      <c r="A55" s="9">
        <v>44986</v>
      </c>
      <c r="B55" s="6">
        <v>175.6</v>
      </c>
      <c r="C55" s="2">
        <v>5.8411214953392231E-5</v>
      </c>
      <c r="D55" s="6">
        <v>1.0256410256431536E-2</v>
      </c>
      <c r="J55" s="4" t="s">
        <v>7</v>
      </c>
      <c r="K55" s="11">
        <v>8.8098605778945224E-2</v>
      </c>
    </row>
    <row r="56" spans="1:11" x14ac:dyDescent="0.25">
      <c r="A56" s="9">
        <v>45017</v>
      </c>
      <c r="B56" s="6">
        <v>176.44871794871793</v>
      </c>
      <c r="C56" s="2">
        <v>4.8332457216283221E-3</v>
      </c>
      <c r="D56" s="6">
        <v>0.84871794871793327</v>
      </c>
      <c r="J56" s="4" t="s">
        <v>4</v>
      </c>
      <c r="K56" s="11">
        <v>0.1248652145783913</v>
      </c>
    </row>
    <row r="57" spans="1:11" x14ac:dyDescent="0.25">
      <c r="A57" s="9">
        <v>45047</v>
      </c>
      <c r="B57" s="6">
        <v>177.76153846153849</v>
      </c>
      <c r="C57" s="2">
        <v>7.4402383201339888E-3</v>
      </c>
      <c r="D57" s="6">
        <v>1.312820512820565</v>
      </c>
      <c r="J57" s="4" t="s">
        <v>13</v>
      </c>
      <c r="K57" s="11">
        <v>0.17724724181588003</v>
      </c>
    </row>
    <row r="58" spans="1:11" x14ac:dyDescent="0.25">
      <c r="A58" s="38" t="s">
        <v>80</v>
      </c>
      <c r="B58" s="39">
        <v>175.67218934911244</v>
      </c>
      <c r="C58" s="37"/>
      <c r="D58" s="36"/>
    </row>
    <row r="61" spans="1:11" x14ac:dyDescent="0.25">
      <c r="C61" s="2">
        <f>AVERAGE(C46:C57)</f>
        <v>2.5137700017844552E-3</v>
      </c>
      <c r="D61" s="6">
        <f>AVERAGE(D45:D57)</f>
        <v>0.43760683760684077</v>
      </c>
    </row>
  </sheetData>
  <sortState xmlns:xlrd2="http://schemas.microsoft.com/office/spreadsheetml/2017/richdata2" ref="J45:K57">
    <sortCondition ref="K45:K57"/>
  </sortState>
  <conditionalFormatting pivot="1" sqref="C5:C16">
    <cfRule type="top10" dxfId="19" priority="14" bottom="1" rank="1"/>
  </conditionalFormatting>
  <conditionalFormatting pivot="1" sqref="C5:C16">
    <cfRule type="top10" dxfId="18" priority="13" rank="1"/>
  </conditionalFormatting>
  <conditionalFormatting sqref="J4:J16">
    <cfRule type="top10" dxfId="17" priority="9" rank="1"/>
    <cfRule type="top10" dxfId="16" priority="10" bottom="1" rank="1"/>
  </conditionalFormatting>
  <conditionalFormatting sqref="C46:C57">
    <cfRule type="top10" dxfId="15" priority="4" bottom="1" rank="1"/>
  </conditionalFormatting>
  <conditionalFormatting sqref="C46:C57">
    <cfRule type="top10" dxfId="14" priority="3" rank="1"/>
  </conditionalFormatting>
  <conditionalFormatting sqref="K45:K57">
    <cfRule type="top10" dxfId="13" priority="1" rank="1"/>
    <cfRule type="top10" dxfId="12" priority="2" bottom="1" rank="1"/>
  </conditionalFormatting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138F-BCDF-4F11-BC3A-4D1C77683599}">
  <dimension ref="B1:AG74"/>
  <sheetViews>
    <sheetView topLeftCell="C40" workbookViewId="0">
      <selection activeCell="K46" sqref="K46:L50"/>
    </sheetView>
  </sheetViews>
  <sheetFormatPr defaultRowHeight="13.2" x14ac:dyDescent="0.25"/>
  <cols>
    <col min="2" max="2" width="40.5546875" bestFit="1" customWidth="1"/>
    <col min="3" max="3" width="12.88671875" customWidth="1"/>
    <col min="4" max="4" width="7.88671875" customWidth="1"/>
    <col min="5" max="5" width="8.5546875" customWidth="1"/>
    <col min="6" max="6" width="9" customWidth="1"/>
    <col min="7" max="7" width="22.88671875" bestFit="1" customWidth="1"/>
    <col min="8" max="8" width="14.44140625" bestFit="1" customWidth="1"/>
    <col min="9" max="9" width="26.88671875" bestFit="1" customWidth="1"/>
    <col min="10" max="10" width="22.109375" customWidth="1"/>
    <col min="11" max="11" width="14.33203125" customWidth="1"/>
    <col min="12" max="13" width="7" bestFit="1" customWidth="1"/>
    <col min="14" max="14" width="10" customWidth="1"/>
    <col min="15" max="15" width="24" bestFit="1" customWidth="1"/>
    <col min="16" max="16" width="16.33203125" bestFit="1" customWidth="1"/>
    <col min="17" max="17" width="6.88671875" customWidth="1"/>
    <col min="18" max="18" width="7.109375" bestFit="1" customWidth="1"/>
    <col min="19" max="19" width="6.88671875" bestFit="1" customWidth="1"/>
    <col min="20" max="20" width="7" customWidth="1"/>
    <col min="21" max="21" width="11.33203125" customWidth="1"/>
    <col min="22" max="22" width="7" bestFit="1" customWidth="1"/>
    <col min="23" max="23" width="6.5546875" bestFit="1" customWidth="1"/>
    <col min="24" max="25" width="7" bestFit="1" customWidth="1"/>
    <col min="26" max="26" width="6.6640625" bestFit="1" customWidth="1"/>
    <col min="27" max="27" width="6.88671875" bestFit="1" customWidth="1"/>
    <col min="28" max="28" width="9.88671875" customWidth="1"/>
    <col min="29" max="29" width="10" customWidth="1"/>
    <col min="30" max="30" width="9" customWidth="1"/>
    <col min="31" max="31" width="7.109375" bestFit="1" customWidth="1"/>
    <col min="32" max="32" width="6.88671875" bestFit="1" customWidth="1"/>
    <col min="33" max="34" width="7" bestFit="1" customWidth="1"/>
    <col min="35" max="35" width="6.5546875" bestFit="1" customWidth="1"/>
    <col min="36" max="37" width="7" bestFit="1" customWidth="1"/>
    <col min="38" max="39" width="11.33203125" bestFit="1" customWidth="1"/>
    <col min="40" max="40" width="18.109375" bestFit="1" customWidth="1"/>
    <col min="41" max="41" width="18.88671875" bestFit="1" customWidth="1"/>
    <col min="42" max="42" width="23.44140625" bestFit="1" customWidth="1"/>
    <col min="43" max="43" width="18.109375" bestFit="1" customWidth="1"/>
    <col min="44" max="44" width="18.88671875" bestFit="1" customWidth="1"/>
    <col min="45" max="45" width="23.44140625" bestFit="1" customWidth="1"/>
    <col min="46" max="46" width="18.109375" bestFit="1" customWidth="1"/>
    <col min="47" max="47" width="18.88671875" bestFit="1" customWidth="1"/>
    <col min="48" max="48" width="23.44140625" bestFit="1" customWidth="1"/>
    <col min="49" max="49" width="18.109375" bestFit="1" customWidth="1"/>
    <col min="50" max="50" width="18.88671875" bestFit="1" customWidth="1"/>
    <col min="51" max="51" width="23.44140625" bestFit="1" customWidth="1"/>
    <col min="52" max="52" width="18.109375" bestFit="1" customWidth="1"/>
    <col min="53" max="53" width="18.88671875" bestFit="1" customWidth="1"/>
    <col min="54" max="54" width="23.44140625" bestFit="1" customWidth="1"/>
    <col min="55" max="55" width="18.109375" bestFit="1" customWidth="1"/>
    <col min="56" max="56" width="18.88671875" bestFit="1" customWidth="1"/>
    <col min="57" max="57" width="23.44140625" bestFit="1" customWidth="1"/>
    <col min="58" max="58" width="18.109375" bestFit="1" customWidth="1"/>
    <col min="59" max="59" width="18.88671875" bestFit="1" customWidth="1"/>
    <col min="60" max="60" width="23.44140625" bestFit="1" customWidth="1"/>
    <col min="61" max="61" width="18.109375" bestFit="1" customWidth="1"/>
    <col min="62" max="62" width="18.88671875" bestFit="1" customWidth="1"/>
    <col min="63" max="63" width="23.44140625" bestFit="1" customWidth="1"/>
    <col min="64" max="64" width="18.109375" bestFit="1" customWidth="1"/>
    <col min="65" max="65" width="18.88671875" bestFit="1" customWidth="1"/>
    <col min="66" max="66" width="23.44140625" bestFit="1" customWidth="1"/>
    <col min="67" max="67" width="18.109375" bestFit="1" customWidth="1"/>
    <col min="68" max="68" width="18.88671875" bestFit="1" customWidth="1"/>
    <col min="69" max="69" width="23.44140625" bestFit="1" customWidth="1"/>
    <col min="70" max="70" width="18.109375" bestFit="1" customWidth="1"/>
    <col min="71" max="71" width="18.88671875" bestFit="1" customWidth="1"/>
    <col min="72" max="72" width="23.44140625" bestFit="1" customWidth="1"/>
    <col min="73" max="73" width="18.109375" bestFit="1" customWidth="1"/>
    <col min="74" max="74" width="18.88671875" bestFit="1" customWidth="1"/>
    <col min="75" max="75" width="23.44140625" bestFit="1" customWidth="1"/>
    <col min="76" max="76" width="18.109375" bestFit="1" customWidth="1"/>
    <col min="77" max="77" width="18.88671875" bestFit="1" customWidth="1"/>
    <col min="78" max="78" width="23.44140625" bestFit="1" customWidth="1"/>
    <col min="79" max="79" width="18.109375" bestFit="1" customWidth="1"/>
    <col min="80" max="80" width="18.88671875" bestFit="1" customWidth="1"/>
    <col min="81" max="81" width="23.44140625" bestFit="1" customWidth="1"/>
    <col min="82" max="82" width="18.109375" bestFit="1" customWidth="1"/>
    <col min="83" max="83" width="18.88671875" bestFit="1" customWidth="1"/>
    <col min="84" max="84" width="23.44140625" bestFit="1" customWidth="1"/>
    <col min="85" max="85" width="18.109375" bestFit="1" customWidth="1"/>
    <col min="86" max="86" width="18.88671875" bestFit="1" customWidth="1"/>
    <col min="87" max="87" width="23.44140625" bestFit="1" customWidth="1"/>
    <col min="88" max="88" width="18.109375" bestFit="1" customWidth="1"/>
    <col min="89" max="89" width="18.88671875" bestFit="1" customWidth="1"/>
    <col min="90" max="90" width="23.44140625" bestFit="1" customWidth="1"/>
    <col min="91" max="91" width="18.109375" bestFit="1" customWidth="1"/>
    <col min="92" max="92" width="18.88671875" bestFit="1" customWidth="1"/>
    <col min="93" max="93" width="23.44140625" bestFit="1" customWidth="1"/>
    <col min="94" max="94" width="18.109375" bestFit="1" customWidth="1"/>
    <col min="95" max="95" width="18.88671875" bestFit="1" customWidth="1"/>
    <col min="96" max="96" width="23.44140625" bestFit="1" customWidth="1"/>
    <col min="97" max="97" width="18.109375" bestFit="1" customWidth="1"/>
    <col min="98" max="98" width="18.88671875" bestFit="1" customWidth="1"/>
    <col min="99" max="99" width="23.44140625" bestFit="1" customWidth="1"/>
    <col min="100" max="100" width="18.109375" bestFit="1" customWidth="1"/>
    <col min="101" max="101" width="18.88671875" bestFit="1" customWidth="1"/>
    <col min="102" max="102" width="23.44140625" bestFit="1" customWidth="1"/>
    <col min="103" max="103" width="18.109375" bestFit="1" customWidth="1"/>
    <col min="104" max="104" width="18.88671875" bestFit="1" customWidth="1"/>
    <col min="105" max="105" width="23.44140625" bestFit="1" customWidth="1"/>
    <col min="106" max="106" width="18.109375" bestFit="1" customWidth="1"/>
    <col min="107" max="107" width="18.88671875" bestFit="1" customWidth="1"/>
    <col min="108" max="108" width="28.44140625" bestFit="1" customWidth="1"/>
    <col min="109" max="109" width="23.109375" bestFit="1" customWidth="1"/>
    <col min="110" max="110" width="23.6640625" bestFit="1" customWidth="1"/>
    <col min="111" max="112" width="6.88671875" bestFit="1" customWidth="1"/>
    <col min="113" max="113" width="6.6640625" bestFit="1" customWidth="1"/>
    <col min="114" max="114" width="7.109375" bestFit="1" customWidth="1"/>
    <col min="115" max="115" width="6.88671875" bestFit="1" customWidth="1"/>
    <col min="116" max="116" width="6.33203125" bestFit="1" customWidth="1"/>
    <col min="117" max="117" width="7.109375" bestFit="1" customWidth="1"/>
    <col min="118" max="118" width="7" bestFit="1" customWidth="1"/>
    <col min="119" max="119" width="6.5546875" bestFit="1" customWidth="1"/>
    <col min="120" max="121" width="7" bestFit="1" customWidth="1"/>
    <col min="122" max="122" width="6.6640625" bestFit="1" customWidth="1"/>
    <col min="123" max="124" width="6.88671875" bestFit="1" customWidth="1"/>
    <col min="125" max="125" width="6.6640625" bestFit="1" customWidth="1"/>
    <col min="126" max="126" width="7.109375" bestFit="1" customWidth="1"/>
    <col min="127" max="127" width="11.33203125" bestFit="1" customWidth="1"/>
  </cols>
  <sheetData>
    <row r="1" spans="2:23" x14ac:dyDescent="0.25">
      <c r="B1" s="3" t="s">
        <v>1</v>
      </c>
      <c r="C1" t="s">
        <v>126</v>
      </c>
      <c r="O1" s="3" t="s">
        <v>1</v>
      </c>
      <c r="P1" t="s">
        <v>126</v>
      </c>
    </row>
    <row r="3" spans="2:23" x14ac:dyDescent="0.25">
      <c r="C3" s="3" t="s">
        <v>3</v>
      </c>
      <c r="P3" s="3" t="s">
        <v>3</v>
      </c>
    </row>
    <row r="4" spans="2:23" x14ac:dyDescent="0.25">
      <c r="B4" s="3" t="s">
        <v>66</v>
      </c>
      <c r="C4" s="10">
        <v>43466</v>
      </c>
      <c r="D4" s="10">
        <v>43862</v>
      </c>
      <c r="E4" s="10">
        <v>43891</v>
      </c>
      <c r="F4" s="10">
        <v>44531</v>
      </c>
      <c r="G4" t="s">
        <v>127</v>
      </c>
      <c r="H4" t="s">
        <v>128</v>
      </c>
      <c r="O4" s="3" t="s">
        <v>66</v>
      </c>
      <c r="P4" s="10">
        <v>43466</v>
      </c>
      <c r="Q4" s="10">
        <v>43891</v>
      </c>
      <c r="R4" s="10">
        <v>43952</v>
      </c>
      <c r="S4" s="10">
        <v>43983</v>
      </c>
      <c r="T4" s="10">
        <v>44531</v>
      </c>
      <c r="U4" t="s">
        <v>127</v>
      </c>
      <c r="V4" t="s">
        <v>128</v>
      </c>
    </row>
    <row r="5" spans="2:23" x14ac:dyDescent="0.25">
      <c r="B5" t="s">
        <v>129</v>
      </c>
      <c r="C5" s="6">
        <v>134.80256410256411</v>
      </c>
      <c r="D5" s="6">
        <v>147.12820512820511</v>
      </c>
      <c r="E5" s="6">
        <v>145.85897435897436</v>
      </c>
      <c r="F5" s="6">
        <v>168.08717948717947</v>
      </c>
      <c r="G5" s="2">
        <f>(D5-C5)/C5</f>
        <v>9.1434766895554603E-2</v>
      </c>
      <c r="H5" s="2">
        <f>(F5-E5)/E5</f>
        <v>0.15239518326448079</v>
      </c>
      <c r="I5" s="2">
        <f>H5-G5</f>
        <v>6.0960416368926185E-2</v>
      </c>
      <c r="J5" s="2">
        <f>I5/G5</f>
        <v>0.66670937586094481</v>
      </c>
      <c r="O5" t="s">
        <v>129</v>
      </c>
      <c r="P5" s="6">
        <v>134.80256410256411</v>
      </c>
      <c r="Q5" s="6">
        <v>145.85897435897436</v>
      </c>
      <c r="R5" s="6" t="e">
        <v>#DIV/0!</v>
      </c>
      <c r="S5" s="6">
        <v>151.6102564102564</v>
      </c>
      <c r="T5" s="6">
        <v>168.08717948717947</v>
      </c>
      <c r="U5" s="2">
        <f>(Q5-P5)/P5</f>
        <v>8.2019287466950738E-2</v>
      </c>
      <c r="V5" s="2">
        <f>(T5-S5)/S5</f>
        <v>0.10867947503720739</v>
      </c>
      <c r="W5" s="2">
        <f>V5-U5</f>
        <v>2.6660187570256649E-2</v>
      </c>
    </row>
    <row r="6" spans="2:23" x14ac:dyDescent="0.25">
      <c r="B6" t="s">
        <v>130</v>
      </c>
      <c r="C6" s="6">
        <v>140.48166666666665</v>
      </c>
      <c r="D6" s="6">
        <v>146.59333333333333</v>
      </c>
      <c r="E6" s="6">
        <v>146.79833333333332</v>
      </c>
      <c r="F6" s="6">
        <v>161.69499999999999</v>
      </c>
      <c r="G6" s="2">
        <f t="shared" ref="G6:G7" si="0">(D6-C6)/C6</f>
        <v>4.3505083700127033E-2</v>
      </c>
      <c r="H6" s="2">
        <f t="shared" ref="H6:H7" si="1">(F6-E6)/E6</f>
        <v>0.10147708307315031</v>
      </c>
      <c r="I6" s="2">
        <f t="shared" ref="I6:I7" si="2">H6-G6</f>
        <v>5.7971999373023282E-2</v>
      </c>
      <c r="J6" s="2">
        <f t="shared" ref="J6:J7" si="3">I6/G6</f>
        <v>1.3325339119587536</v>
      </c>
      <c r="O6" t="s">
        <v>130</v>
      </c>
      <c r="P6" s="6">
        <v>140.48166666666665</v>
      </c>
      <c r="Q6" s="6">
        <v>146.79833333333332</v>
      </c>
      <c r="R6" s="6" t="e">
        <v>#DIV/0!</v>
      </c>
      <c r="S6" s="6">
        <v>146.54333333333332</v>
      </c>
      <c r="T6" s="6">
        <v>161.69499999999999</v>
      </c>
      <c r="U6" s="2">
        <f t="shared" ref="U6:U7" si="4">(Q6-P6)/P6</f>
        <v>4.496434884741779E-2</v>
      </c>
      <c r="V6" s="2">
        <f t="shared" ref="V6:V7" si="5">(T6-S6)/S6</f>
        <v>0.10339376293701526</v>
      </c>
      <c r="W6" s="2">
        <f t="shared" ref="W6:W7" si="6">V6-U6</f>
        <v>5.8429414089597467E-2</v>
      </c>
    </row>
    <row r="7" spans="2:23" x14ac:dyDescent="0.25">
      <c r="B7" t="s">
        <v>131</v>
      </c>
      <c r="C7" s="6">
        <v>138.41666666666666</v>
      </c>
      <c r="D7" s="6">
        <v>147.1</v>
      </c>
      <c r="E7" s="6">
        <v>148.26666666666665</v>
      </c>
      <c r="F7" s="6">
        <v>166.25</v>
      </c>
      <c r="G7" s="2">
        <f t="shared" si="0"/>
        <v>6.2733293196869391E-2</v>
      </c>
      <c r="H7" s="2">
        <f t="shared" si="1"/>
        <v>0.1212904676258994</v>
      </c>
      <c r="I7" s="2">
        <f t="shared" si="2"/>
        <v>5.8557174429030009E-2</v>
      </c>
      <c r="J7" s="2">
        <f t="shared" si="3"/>
        <v>0.93343058278904789</v>
      </c>
      <c r="O7" t="s">
        <v>131</v>
      </c>
      <c r="P7" s="6">
        <v>138.41666666666666</v>
      </c>
      <c r="Q7" s="6">
        <v>148.26666666666665</v>
      </c>
      <c r="R7" s="6" t="e">
        <v>#DIV/0!</v>
      </c>
      <c r="S7" s="6">
        <v>152.61666666666665</v>
      </c>
      <c r="T7" s="6">
        <v>166.25</v>
      </c>
      <c r="U7" s="2">
        <f t="shared" si="4"/>
        <v>7.1161950632149265E-2</v>
      </c>
      <c r="V7" s="2">
        <f t="shared" si="5"/>
        <v>8.9330566779513093E-2</v>
      </c>
      <c r="W7" s="2">
        <f t="shared" si="6"/>
        <v>1.8168616147363828E-2</v>
      </c>
    </row>
    <row r="8" spans="2:23" x14ac:dyDescent="0.25">
      <c r="C8" s="43" t="s">
        <v>132</v>
      </c>
      <c r="D8" s="44"/>
      <c r="E8" s="43" t="s">
        <v>133</v>
      </c>
      <c r="F8" s="45"/>
      <c r="P8" s="43" t="s">
        <v>132</v>
      </c>
      <c r="Q8" s="45"/>
      <c r="R8" s="23" t="s">
        <v>134</v>
      </c>
      <c r="S8" s="46" t="s">
        <v>133</v>
      </c>
      <c r="T8" s="47"/>
    </row>
    <row r="16" spans="2:23" x14ac:dyDescent="0.25">
      <c r="B16" s="16" t="s">
        <v>135</v>
      </c>
      <c r="C16" t="s">
        <v>136</v>
      </c>
    </row>
    <row r="18" spans="2:33" x14ac:dyDescent="0.25">
      <c r="B18" s="3" t="s">
        <v>3</v>
      </c>
      <c r="C18" t="s">
        <v>70</v>
      </c>
      <c r="D18" t="s">
        <v>137</v>
      </c>
      <c r="E18" t="s">
        <v>77</v>
      </c>
      <c r="G18" s="19" t="s">
        <v>1</v>
      </c>
      <c r="H18" s="20" t="s">
        <v>70</v>
      </c>
      <c r="I18" s="20" t="s">
        <v>138</v>
      </c>
      <c r="J18" s="21" t="s">
        <v>77</v>
      </c>
      <c r="N18" s="19" t="s">
        <v>1</v>
      </c>
      <c r="O18" s="20" t="s">
        <v>70</v>
      </c>
      <c r="P18" s="20" t="s">
        <v>138</v>
      </c>
      <c r="Q18" s="21" t="s">
        <v>77</v>
      </c>
      <c r="V18" s="19" t="s">
        <v>1</v>
      </c>
      <c r="W18" s="17">
        <v>2013</v>
      </c>
      <c r="X18" s="17">
        <v>2014</v>
      </c>
      <c r="Y18" s="17">
        <v>2015</v>
      </c>
      <c r="Z18" s="17">
        <v>2016</v>
      </c>
      <c r="AA18" s="17">
        <v>2017</v>
      </c>
      <c r="AB18" s="17">
        <v>2018</v>
      </c>
      <c r="AC18" s="17" t="s">
        <v>139</v>
      </c>
      <c r="AD18" s="17" t="s">
        <v>140</v>
      </c>
      <c r="AE18" s="17">
        <v>2022</v>
      </c>
    </row>
    <row r="19" spans="2:33" x14ac:dyDescent="0.25">
      <c r="B19" s="10">
        <v>41275</v>
      </c>
      <c r="C19" s="6">
        <v>105.67692307692307</v>
      </c>
      <c r="D19" s="6">
        <v>103.75666666666666</v>
      </c>
      <c r="E19" s="6">
        <v>104.26666666666665</v>
      </c>
      <c r="F19" s="6"/>
      <c r="G19" s="22"/>
      <c r="H19" s="22"/>
      <c r="I19" s="22"/>
      <c r="J19" s="22"/>
      <c r="N19" s="17">
        <v>2013</v>
      </c>
      <c r="O19" s="18">
        <v>9.6884553792400893E-2</v>
      </c>
      <c r="P19" s="18">
        <v>7.1160086098885286E-2</v>
      </c>
      <c r="Q19" s="18">
        <v>4.2998721227621634E-2</v>
      </c>
      <c r="V19" s="20" t="s">
        <v>70</v>
      </c>
      <c r="W19" s="18">
        <v>9.6884553792400893E-2</v>
      </c>
      <c r="X19" s="18">
        <v>5.8743016133013359E-2</v>
      </c>
      <c r="Y19" s="18">
        <v>7.5313541158245401E-2</v>
      </c>
      <c r="Z19" s="18">
        <v>2.6833490714510615E-2</v>
      </c>
      <c r="AA19" s="18">
        <v>3.8298118892193742E-2</v>
      </c>
      <c r="AB19" s="18">
        <v>-8.7072378914974848E-3</v>
      </c>
      <c r="AC19" s="18">
        <v>9.1434766895554603E-2</v>
      </c>
      <c r="AD19" s="18">
        <v>0.15239518326448079</v>
      </c>
      <c r="AE19" s="18">
        <v>5.4182874890450455E-2</v>
      </c>
    </row>
    <row r="20" spans="2:33" x14ac:dyDescent="0.25">
      <c r="B20" s="10">
        <v>41609</v>
      </c>
      <c r="C20" s="6">
        <v>115.91538461538464</v>
      </c>
      <c r="D20" s="6">
        <v>111.14</v>
      </c>
      <c r="E20" s="6">
        <v>108.75</v>
      </c>
      <c r="F20" s="6"/>
      <c r="G20" s="17">
        <v>2013</v>
      </c>
      <c r="H20" s="18">
        <f>(C20-C19)/C19</f>
        <v>9.6884553792400893E-2</v>
      </c>
      <c r="I20" s="18">
        <f t="shared" ref="I20:J20" si="7">(D20-D19)/D19</f>
        <v>7.1160086098885286E-2</v>
      </c>
      <c r="J20" s="18">
        <f t="shared" si="7"/>
        <v>4.2998721227621634E-2</v>
      </c>
      <c r="N20" s="17">
        <v>2014</v>
      </c>
      <c r="O20" s="18">
        <v>5.8743016133013359E-2</v>
      </c>
      <c r="P20" s="18">
        <v>3.6431204572929525E-2</v>
      </c>
      <c r="Q20" s="18">
        <v>2.9003205617463158E-2</v>
      </c>
      <c r="V20" s="20" t="s">
        <v>138</v>
      </c>
      <c r="W20" s="18">
        <v>7.1160086098885286E-2</v>
      </c>
      <c r="X20" s="18">
        <v>3.6431204572929525E-2</v>
      </c>
      <c r="Y20" s="18">
        <v>4.274081201798096E-2</v>
      </c>
      <c r="Z20" s="18">
        <v>4.2388707329799886E-2</v>
      </c>
      <c r="AA20" s="18">
        <v>4.773902317402829E-2</v>
      </c>
      <c r="AB20" s="18">
        <v>5.530741590977134E-2</v>
      </c>
      <c r="AC20" s="18">
        <v>4.3505083700127033E-2</v>
      </c>
      <c r="AD20" s="18">
        <v>0.10147708307315031</v>
      </c>
      <c r="AE20" s="18">
        <v>6.495573767124671E-2</v>
      </c>
      <c r="AG20" s="11">
        <f>(AD20-AC20)/AC20</f>
        <v>1.3325339119587536</v>
      </c>
    </row>
    <row r="21" spans="2:33" x14ac:dyDescent="0.25">
      <c r="B21" s="10">
        <v>41640</v>
      </c>
      <c r="C21" s="6">
        <v>114.27435897435896</v>
      </c>
      <c r="D21" s="6">
        <v>111.67166666666667</v>
      </c>
      <c r="E21" s="6">
        <v>109.18333333333332</v>
      </c>
      <c r="F21" s="6"/>
      <c r="G21" s="17"/>
      <c r="H21" s="18"/>
      <c r="I21" s="18"/>
      <c r="J21" s="18"/>
      <c r="N21" s="17">
        <v>2015</v>
      </c>
      <c r="O21" s="18">
        <v>7.5313541158245401E-2</v>
      </c>
      <c r="P21" s="18">
        <v>4.274081201798096E-2</v>
      </c>
      <c r="Q21" s="18">
        <v>3.8342427370594394E-2</v>
      </c>
      <c r="V21" s="21" t="s">
        <v>77</v>
      </c>
      <c r="W21" s="18">
        <v>4.2998721227621634E-2</v>
      </c>
      <c r="X21" s="18">
        <v>2.9003205617463158E-2</v>
      </c>
      <c r="Y21" s="18">
        <v>3.8342427370594394E-2</v>
      </c>
      <c r="Z21" s="18">
        <v>4.7444224795255403E-2</v>
      </c>
      <c r="AA21" s="18">
        <v>4.2713230355943564E-2</v>
      </c>
      <c r="AB21" s="18">
        <v>6.1946902654867117E-2</v>
      </c>
      <c r="AC21" s="18">
        <v>6.2733293196869391E-2</v>
      </c>
      <c r="AD21" s="18">
        <v>0.1212904676258994</v>
      </c>
      <c r="AE21" s="18">
        <v>6.8018377946464384E-2</v>
      </c>
    </row>
    <row r="22" spans="2:33" x14ac:dyDescent="0.25">
      <c r="B22" s="10">
        <v>41974</v>
      </c>
      <c r="C22" s="6">
        <v>120.98717948717949</v>
      </c>
      <c r="D22" s="6">
        <v>115.74</v>
      </c>
      <c r="E22" s="6">
        <v>112.35000000000001</v>
      </c>
      <c r="F22" s="6"/>
      <c r="G22" s="17">
        <v>2014</v>
      </c>
      <c r="H22" s="18">
        <f>(C22-C21)/C21</f>
        <v>5.8743016133013359E-2</v>
      </c>
      <c r="I22" s="18">
        <f t="shared" ref="I22:J22" si="8">(D22-D21)/D21</f>
        <v>3.6431204572929525E-2</v>
      </c>
      <c r="J22" s="18">
        <f t="shared" si="8"/>
        <v>2.9003205617463158E-2</v>
      </c>
      <c r="N22" s="17">
        <v>2016</v>
      </c>
      <c r="O22" s="18">
        <v>2.6833490714510615E-2</v>
      </c>
      <c r="P22" s="18">
        <v>4.2388707329799886E-2</v>
      </c>
      <c r="Q22" s="18">
        <v>4.7444224795255403E-2</v>
      </c>
    </row>
    <row r="23" spans="2:33" x14ac:dyDescent="0.25">
      <c r="B23" s="10">
        <v>42005</v>
      </c>
      <c r="C23" s="6">
        <v>120.82820512820513</v>
      </c>
      <c r="D23" s="6">
        <v>116.04833333333333</v>
      </c>
      <c r="E23" s="6">
        <v>113.01666666666667</v>
      </c>
      <c r="F23" s="6"/>
      <c r="G23" s="17"/>
      <c r="H23" s="18"/>
      <c r="I23" s="18"/>
      <c r="J23" s="18"/>
      <c r="N23" s="17">
        <v>2017</v>
      </c>
      <c r="O23" s="18">
        <v>3.8298118892193742E-2</v>
      </c>
      <c r="P23" s="18">
        <v>4.773902317402829E-2</v>
      </c>
      <c r="Q23" s="18">
        <v>4.2713230355943564E-2</v>
      </c>
    </row>
    <row r="24" spans="2:33" x14ac:dyDescent="0.25">
      <c r="B24" s="10">
        <v>42339</v>
      </c>
      <c r="C24" s="6">
        <v>129.92820512820512</v>
      </c>
      <c r="D24" s="6">
        <v>121.00833333333333</v>
      </c>
      <c r="E24" s="6">
        <v>117.35000000000001</v>
      </c>
      <c r="F24" s="6"/>
      <c r="G24" s="17">
        <v>2015</v>
      </c>
      <c r="H24" s="18">
        <f>(C24-C23)/C23</f>
        <v>7.5313541158245401E-2</v>
      </c>
      <c r="I24" s="18">
        <f t="shared" ref="I24:J24" si="9">(D24-D23)/D23</f>
        <v>4.274081201798096E-2</v>
      </c>
      <c r="J24" s="18">
        <f t="shared" si="9"/>
        <v>3.8342427370594394E-2</v>
      </c>
      <c r="N24" s="17">
        <v>2018</v>
      </c>
      <c r="O24" s="18">
        <v>-8.7072378914974848E-3</v>
      </c>
      <c r="P24" s="18">
        <v>5.530741590977134E-2</v>
      </c>
      <c r="Q24" s="18">
        <v>6.1946902654867117E-2</v>
      </c>
    </row>
    <row r="25" spans="2:33" x14ac:dyDescent="0.25">
      <c r="B25" s="10">
        <v>42370</v>
      </c>
      <c r="C25" s="6">
        <v>130.33846153846153</v>
      </c>
      <c r="D25" s="6">
        <v>121.37666666666665</v>
      </c>
      <c r="E25" s="6">
        <v>118.03333333333335</v>
      </c>
      <c r="F25" s="6"/>
      <c r="G25" s="17"/>
      <c r="H25" s="18"/>
      <c r="I25" s="18"/>
      <c r="J25" s="18"/>
      <c r="N25" s="17" t="s">
        <v>139</v>
      </c>
      <c r="O25" s="18">
        <v>9.1434766895554603E-2</v>
      </c>
      <c r="P25" s="18">
        <v>4.3505083700127033E-2</v>
      </c>
      <c r="Q25" s="18">
        <v>6.2733293196869391E-2</v>
      </c>
    </row>
    <row r="26" spans="2:33" x14ac:dyDescent="0.25">
      <c r="B26" s="10">
        <v>42705</v>
      </c>
      <c r="C26" s="6">
        <v>133.83589743589744</v>
      </c>
      <c r="D26" s="6">
        <v>126.52166666666666</v>
      </c>
      <c r="E26" s="6">
        <v>123.63333333333333</v>
      </c>
      <c r="F26" s="6"/>
      <c r="G26" s="17">
        <v>2016</v>
      </c>
      <c r="H26" s="18">
        <f>(C26-C25)/C25</f>
        <v>2.6833490714510615E-2</v>
      </c>
      <c r="I26" s="18">
        <f t="shared" ref="I26:J26" si="10">(D26-D25)/D25</f>
        <v>4.2388707329799886E-2</v>
      </c>
      <c r="J26" s="18">
        <f t="shared" si="10"/>
        <v>4.7444224795255403E-2</v>
      </c>
      <c r="N26" s="17" t="s">
        <v>140</v>
      </c>
      <c r="O26" s="18">
        <v>0.15239518326448079</v>
      </c>
      <c r="P26" s="18">
        <v>0.10147708307315031</v>
      </c>
      <c r="Q26" s="18">
        <v>0.1212904676258994</v>
      </c>
    </row>
    <row r="27" spans="2:33" x14ac:dyDescent="0.25">
      <c r="B27" s="10">
        <v>42736</v>
      </c>
      <c r="C27" s="6">
        <v>132.76410256410256</v>
      </c>
      <c r="D27" s="6">
        <v>127.00999999999999</v>
      </c>
      <c r="E27" s="6">
        <v>124.08333333333333</v>
      </c>
      <c r="F27" s="6"/>
      <c r="G27" s="17"/>
      <c r="H27" s="18"/>
      <c r="I27" s="18"/>
      <c r="J27" s="18"/>
      <c r="N27" s="17">
        <v>2022</v>
      </c>
      <c r="O27" s="18">
        <v>5.4182874890450455E-2</v>
      </c>
      <c r="P27" s="18">
        <v>6.495573767124671E-2</v>
      </c>
      <c r="Q27" s="18">
        <v>6.8018377946464384E-2</v>
      </c>
    </row>
    <row r="28" spans="2:33" x14ac:dyDescent="0.25">
      <c r="B28" s="10">
        <v>43070</v>
      </c>
      <c r="C28" s="6">
        <v>137.84871794871796</v>
      </c>
      <c r="D28" s="6">
        <v>133.07333333333332</v>
      </c>
      <c r="E28" s="6">
        <v>129.38333333333333</v>
      </c>
      <c r="F28" s="6"/>
      <c r="G28" s="17">
        <v>2017</v>
      </c>
      <c r="H28" s="18">
        <f>(C28-C27)/C27</f>
        <v>3.8298118892193742E-2</v>
      </c>
      <c r="I28" s="18">
        <f t="shared" ref="I28:J28" si="11">(D28-D27)/D27</f>
        <v>4.773902317402829E-2</v>
      </c>
      <c r="J28" s="18">
        <f t="shared" si="11"/>
        <v>4.2713230355943564E-2</v>
      </c>
    </row>
    <row r="29" spans="2:33" x14ac:dyDescent="0.25">
      <c r="B29" s="10">
        <v>43101</v>
      </c>
      <c r="C29" s="6">
        <v>136.63846153846154</v>
      </c>
      <c r="D29" s="6">
        <v>133.58666666666667</v>
      </c>
      <c r="E29" s="6">
        <v>129.95000000000002</v>
      </c>
      <c r="F29" s="6"/>
      <c r="G29" s="17"/>
      <c r="H29" s="18"/>
      <c r="I29" s="18"/>
      <c r="J29" s="18"/>
    </row>
    <row r="30" spans="2:33" x14ac:dyDescent="0.25">
      <c r="B30" s="10">
        <v>43435</v>
      </c>
      <c r="C30" s="6">
        <v>135.44871794871793</v>
      </c>
      <c r="D30" s="6">
        <v>140.97499999999999</v>
      </c>
      <c r="E30" s="6">
        <v>138</v>
      </c>
      <c r="F30" s="6"/>
      <c r="G30" s="17">
        <v>2018</v>
      </c>
      <c r="H30" s="18">
        <f>(C30-C29)/C29</f>
        <v>-8.7072378914974848E-3</v>
      </c>
      <c r="I30" s="18">
        <f t="shared" ref="I30:J30" si="12">(D30-D29)/D29</f>
        <v>5.530741590977134E-2</v>
      </c>
      <c r="J30" s="18">
        <f t="shared" si="12"/>
        <v>6.1946902654867117E-2</v>
      </c>
    </row>
    <row r="31" spans="2:33" x14ac:dyDescent="0.25">
      <c r="B31" s="10">
        <v>43466</v>
      </c>
      <c r="C31" s="6">
        <v>134.80256410256411</v>
      </c>
      <c r="D31" s="6">
        <v>140.48166666666665</v>
      </c>
      <c r="E31" s="6">
        <v>138.41666666666666</v>
      </c>
      <c r="F31" s="6"/>
      <c r="G31" s="17"/>
      <c r="H31" s="18"/>
      <c r="I31" s="18"/>
      <c r="J31" s="18"/>
    </row>
    <row r="32" spans="2:33" x14ac:dyDescent="0.25">
      <c r="B32" s="10">
        <v>43862</v>
      </c>
      <c r="C32" s="6">
        <v>147.12820512820511</v>
      </c>
      <c r="D32" s="6">
        <v>146.59333333333333</v>
      </c>
      <c r="E32" s="6">
        <v>147.1</v>
      </c>
      <c r="F32" s="6"/>
      <c r="G32" s="17" t="s">
        <v>139</v>
      </c>
      <c r="H32" s="18">
        <f>(C32-C31)/C31</f>
        <v>9.1434766895554603E-2</v>
      </c>
      <c r="I32" s="18">
        <f t="shared" ref="I32:J32" si="13">(D32-D31)/D31</f>
        <v>4.3505083700127033E-2</v>
      </c>
      <c r="J32" s="18">
        <f t="shared" si="13"/>
        <v>6.2733293196869391E-2</v>
      </c>
    </row>
    <row r="33" spans="2:12" x14ac:dyDescent="0.25">
      <c r="B33" s="10">
        <v>43891</v>
      </c>
      <c r="C33" s="6">
        <v>145.85897435897436</v>
      </c>
      <c r="D33" s="6">
        <v>146.79833333333332</v>
      </c>
      <c r="E33" s="6">
        <v>148.26666666666665</v>
      </c>
      <c r="F33" s="6"/>
      <c r="G33" s="17"/>
      <c r="H33" s="18"/>
      <c r="I33" s="18"/>
      <c r="J33" s="18"/>
    </row>
    <row r="34" spans="2:12" x14ac:dyDescent="0.25">
      <c r="B34" s="10">
        <v>44531</v>
      </c>
      <c r="C34" s="6">
        <v>168.08717948717947</v>
      </c>
      <c r="D34" s="6">
        <v>161.69499999999999</v>
      </c>
      <c r="E34" s="6">
        <v>166.25</v>
      </c>
      <c r="F34" s="6"/>
      <c r="G34" s="17" t="s">
        <v>140</v>
      </c>
      <c r="H34" s="18">
        <f>(C34-C33)/C33</f>
        <v>0.15239518326448079</v>
      </c>
      <c r="I34" s="18">
        <f t="shared" ref="I34:J34" si="14">(D34-D33)/D33</f>
        <v>0.10147708307315031</v>
      </c>
      <c r="J34" s="18">
        <f t="shared" si="14"/>
        <v>0.1212904676258994</v>
      </c>
    </row>
    <row r="35" spans="2:12" x14ac:dyDescent="0.25">
      <c r="B35" s="10">
        <v>44562</v>
      </c>
      <c r="C35" s="6">
        <v>166.76666666666665</v>
      </c>
      <c r="D35" s="6">
        <v>162.29</v>
      </c>
      <c r="E35" s="6">
        <v>166.86666666666665</v>
      </c>
      <c r="F35" s="6"/>
      <c r="G35" s="17"/>
      <c r="H35" s="18"/>
      <c r="I35" s="18"/>
      <c r="J35" s="18"/>
    </row>
    <row r="36" spans="2:12" x14ac:dyDescent="0.25">
      <c r="B36" s="10">
        <v>44896</v>
      </c>
      <c r="C36" s="6">
        <v>175.80256410256411</v>
      </c>
      <c r="D36" s="6">
        <v>172.83166666666662</v>
      </c>
      <c r="E36" s="6">
        <v>178.21666666666667</v>
      </c>
      <c r="F36" s="6"/>
      <c r="G36" s="17">
        <v>2022</v>
      </c>
      <c r="H36" s="18">
        <f>(C36-C35)/C35</f>
        <v>5.4182874890450455E-2</v>
      </c>
      <c r="I36" s="18">
        <f t="shared" ref="I36:J36" si="15">(D36-D35)/D35</f>
        <v>6.495573767124671E-2</v>
      </c>
      <c r="J36" s="18">
        <f t="shared" si="15"/>
        <v>6.8018377946464384E-2</v>
      </c>
    </row>
    <row r="37" spans="2:12" x14ac:dyDescent="0.25">
      <c r="B37" s="10" t="s">
        <v>80</v>
      </c>
      <c r="C37" s="6">
        <v>136.27393162393165</v>
      </c>
      <c r="D37" s="6">
        <v>132.92212962962964</v>
      </c>
      <c r="E37" s="6">
        <v>131.83981481481482</v>
      </c>
      <c r="F37" s="6"/>
    </row>
    <row r="42" spans="2:12" x14ac:dyDescent="0.25">
      <c r="B42" s="16" t="s">
        <v>135</v>
      </c>
      <c r="C42" t="s">
        <v>136</v>
      </c>
    </row>
    <row r="44" spans="2:12" x14ac:dyDescent="0.25">
      <c r="C44" s="3" t="s">
        <v>3</v>
      </c>
    </row>
    <row r="45" spans="2:12" x14ac:dyDescent="0.25">
      <c r="B45" s="3" t="s">
        <v>66</v>
      </c>
      <c r="C45" s="10">
        <v>43466</v>
      </c>
      <c r="D45" s="10">
        <v>43862</v>
      </c>
      <c r="E45" s="10">
        <v>43891</v>
      </c>
      <c r="F45" s="10">
        <v>44531</v>
      </c>
      <c r="K45" s="29" t="s">
        <v>66</v>
      </c>
    </row>
    <row r="46" spans="2:12" x14ac:dyDescent="0.25">
      <c r="B46" t="s">
        <v>70</v>
      </c>
      <c r="C46" s="6">
        <v>134.80256410256411</v>
      </c>
      <c r="D46" s="6">
        <v>147.12820512820511</v>
      </c>
      <c r="E46" s="6">
        <v>145.85897435897436</v>
      </c>
      <c r="F46" s="6">
        <v>168.08717948717947</v>
      </c>
      <c r="G46" s="5">
        <f>(F46-D46)/D46</f>
        <v>0.14245381666085746</v>
      </c>
      <c r="H46" s="5">
        <f>(F46-E46)/E46</f>
        <v>0.15239518326448079</v>
      </c>
      <c r="K46" t="s">
        <v>141</v>
      </c>
      <c r="L46" s="5">
        <v>0.41885350318471343</v>
      </c>
    </row>
    <row r="47" spans="2:12" x14ac:dyDescent="0.25">
      <c r="B47" t="s">
        <v>137</v>
      </c>
      <c r="C47" s="6">
        <v>140.48166666666665</v>
      </c>
      <c r="D47" s="6">
        <v>146.59333333333333</v>
      </c>
      <c r="E47" s="6">
        <v>146.79833333333332</v>
      </c>
      <c r="F47" s="6">
        <v>161.69499999999999</v>
      </c>
      <c r="G47" s="5">
        <f t="shared" ref="G47:G74" si="16">(F47-D47)/D47</f>
        <v>0.10301741779980894</v>
      </c>
      <c r="H47" s="5">
        <f t="shared" ref="H47:H74" si="17">(F47-E47)/E47</f>
        <v>0.10147708307315031</v>
      </c>
      <c r="K47" t="s">
        <v>142</v>
      </c>
      <c r="L47" s="5">
        <v>0.20166625827003187</v>
      </c>
    </row>
    <row r="48" spans="2:12" x14ac:dyDescent="0.25">
      <c r="B48" t="s">
        <v>77</v>
      </c>
      <c r="C48" s="6">
        <v>138.41666666666666</v>
      </c>
      <c r="D48" s="6">
        <v>147.1</v>
      </c>
      <c r="E48" s="6">
        <v>148.26666666666665</v>
      </c>
      <c r="F48" s="6">
        <v>166.25</v>
      </c>
      <c r="G48" s="5">
        <f t="shared" si="16"/>
        <v>0.13018354860639025</v>
      </c>
      <c r="H48" s="5">
        <f t="shared" si="17"/>
        <v>0.1212904676258994</v>
      </c>
      <c r="K48" t="s">
        <v>143</v>
      </c>
      <c r="L48" s="5">
        <v>0.19438058748403581</v>
      </c>
    </row>
    <row r="49" spans="2:12" x14ac:dyDescent="0.25">
      <c r="B49" t="s">
        <v>72</v>
      </c>
      <c r="C49" s="6">
        <v>143.67777777777778</v>
      </c>
      <c r="D49" s="6">
        <v>146.75555555555556</v>
      </c>
      <c r="E49" s="6">
        <v>147.05555555555554</v>
      </c>
      <c r="F49" s="6">
        <v>163.91111111111113</v>
      </c>
      <c r="G49" s="5">
        <f t="shared" si="16"/>
        <v>0.11689884918231382</v>
      </c>
      <c r="H49" s="5">
        <f t="shared" si="17"/>
        <v>0.114620324896109</v>
      </c>
      <c r="K49" t="s">
        <v>144</v>
      </c>
      <c r="L49" s="5">
        <v>0.18981297254277762</v>
      </c>
    </row>
    <row r="50" spans="2:12" x14ac:dyDescent="0.25">
      <c r="B50" t="s">
        <v>79</v>
      </c>
      <c r="C50" s="6">
        <v>145.83333333333334</v>
      </c>
      <c r="D50" s="6">
        <v>152.57777777777778</v>
      </c>
      <c r="E50" s="6">
        <v>153.21111111111111</v>
      </c>
      <c r="F50" s="6">
        <v>172.05555555555554</v>
      </c>
      <c r="G50" s="5">
        <f t="shared" si="16"/>
        <v>0.1276580250509757</v>
      </c>
      <c r="H50" s="5">
        <f t="shared" si="17"/>
        <v>0.12299659148596701</v>
      </c>
      <c r="K50" t="s">
        <v>145</v>
      </c>
      <c r="L50" s="5">
        <v>0.17244405440982902</v>
      </c>
    </row>
    <row r="51" spans="2:12" x14ac:dyDescent="0.25">
      <c r="B51" t="s">
        <v>146</v>
      </c>
      <c r="C51" s="6">
        <v>137.33333333333334</v>
      </c>
      <c r="D51" s="6">
        <v>145.06666666666666</v>
      </c>
      <c r="E51" s="6">
        <v>145.33333333333334</v>
      </c>
      <c r="F51" s="6">
        <v>149.23333333333332</v>
      </c>
      <c r="G51" s="5">
        <f t="shared" si="16"/>
        <v>2.8722426470588171E-2</v>
      </c>
      <c r="H51" s="5">
        <f t="shared" si="17"/>
        <v>2.6834862385320943E-2</v>
      </c>
      <c r="K51" t="s">
        <v>147</v>
      </c>
      <c r="L51" s="5">
        <v>0.1671005917159763</v>
      </c>
    </row>
    <row r="52" spans="2:12" x14ac:dyDescent="0.25">
      <c r="B52" t="s">
        <v>144</v>
      </c>
      <c r="C52" s="6">
        <v>151.1</v>
      </c>
      <c r="D52" s="6">
        <v>167.53333333333333</v>
      </c>
      <c r="E52" s="6">
        <v>167.1</v>
      </c>
      <c r="F52" s="6">
        <v>199.33333333333334</v>
      </c>
      <c r="G52" s="5">
        <f t="shared" si="16"/>
        <v>0.18981297254277762</v>
      </c>
      <c r="H52" s="5">
        <f t="shared" si="17"/>
        <v>0.19289846399361668</v>
      </c>
      <c r="K52" t="s">
        <v>70</v>
      </c>
      <c r="L52" s="5">
        <v>0.14245381666085746</v>
      </c>
    </row>
    <row r="53" spans="2:12" x14ac:dyDescent="0.25">
      <c r="B53" t="s">
        <v>145</v>
      </c>
      <c r="C53" s="6">
        <v>140.63333333333333</v>
      </c>
      <c r="D53" s="6">
        <v>151.93333333333331</v>
      </c>
      <c r="E53" s="6">
        <v>148.20000000000002</v>
      </c>
      <c r="F53" s="6">
        <v>178.13333333333333</v>
      </c>
      <c r="G53" s="5">
        <f t="shared" si="16"/>
        <v>0.17244405440982902</v>
      </c>
      <c r="H53" s="5">
        <f t="shared" si="17"/>
        <v>0.20197930724246496</v>
      </c>
      <c r="K53" t="s">
        <v>148</v>
      </c>
      <c r="L53" s="5">
        <v>0.133919843597263</v>
      </c>
    </row>
    <row r="54" spans="2:12" x14ac:dyDescent="0.25">
      <c r="B54" t="s">
        <v>149</v>
      </c>
      <c r="C54" s="6">
        <v>142.06666666666663</v>
      </c>
      <c r="D54" s="6">
        <v>150.79999999999998</v>
      </c>
      <c r="E54" s="6">
        <v>151.43333333333334</v>
      </c>
      <c r="F54" s="6">
        <v>159.9</v>
      </c>
      <c r="G54" s="5">
        <f t="shared" si="16"/>
        <v>6.0344827586207052E-2</v>
      </c>
      <c r="H54" s="5">
        <f t="shared" si="17"/>
        <v>5.5910191503411852E-2</v>
      </c>
      <c r="K54" t="s">
        <v>150</v>
      </c>
      <c r="L54" s="5">
        <v>0.13362770160353257</v>
      </c>
    </row>
    <row r="55" spans="2:12" x14ac:dyDescent="0.25">
      <c r="B55" t="s">
        <v>141</v>
      </c>
      <c r="C55" s="6">
        <v>121.26666666666665</v>
      </c>
      <c r="D55" s="6">
        <v>130.83333333333334</v>
      </c>
      <c r="E55" s="6">
        <v>130.66666666666666</v>
      </c>
      <c r="F55" s="6">
        <v>185.63333333333335</v>
      </c>
      <c r="G55" s="5">
        <f>(F55-D55)/D55</f>
        <v>0.41885350318471343</v>
      </c>
      <c r="H55" s="5">
        <f t="shared" si="17"/>
        <v>0.42066326530612269</v>
      </c>
      <c r="K55" t="s">
        <v>77</v>
      </c>
      <c r="L55" s="5">
        <v>0.13018354860639025</v>
      </c>
    </row>
    <row r="56" spans="2:12" x14ac:dyDescent="0.25">
      <c r="B56" t="s">
        <v>151</v>
      </c>
      <c r="C56" s="6">
        <v>135.36666666666667</v>
      </c>
      <c r="D56" s="6">
        <v>141.86666666666665</v>
      </c>
      <c r="E56" s="6">
        <v>142.53333333333333</v>
      </c>
      <c r="F56" s="6">
        <v>155.06666666666669</v>
      </c>
      <c r="G56" s="5">
        <f t="shared" si="16"/>
        <v>9.3045112781955222E-2</v>
      </c>
      <c r="H56" s="5">
        <f t="shared" si="17"/>
        <v>8.7932647333957156E-2</v>
      </c>
      <c r="K56" t="s">
        <v>152</v>
      </c>
      <c r="L56" s="5">
        <v>0.12871747211895912</v>
      </c>
    </row>
    <row r="57" spans="2:12" x14ac:dyDescent="0.25">
      <c r="B57" t="s">
        <v>153</v>
      </c>
      <c r="C57" s="6">
        <v>131.16666666666666</v>
      </c>
      <c r="D57" s="6">
        <v>172.5</v>
      </c>
      <c r="E57" s="6">
        <v>158.86666666666667</v>
      </c>
      <c r="F57" s="6">
        <v>193.36666666666667</v>
      </c>
      <c r="G57" s="5">
        <f t="shared" si="16"/>
        <v>0.12096618357487927</v>
      </c>
      <c r="H57" s="5">
        <f t="shared" si="17"/>
        <v>0.217163239613932</v>
      </c>
      <c r="K57" t="s">
        <v>79</v>
      </c>
      <c r="L57" s="5">
        <v>0.1276580250509757</v>
      </c>
    </row>
    <row r="58" spans="2:12" x14ac:dyDescent="0.25">
      <c r="B58" t="s">
        <v>147</v>
      </c>
      <c r="C58" s="6">
        <v>119.93333333333334</v>
      </c>
      <c r="D58" s="6">
        <v>140.83333333333334</v>
      </c>
      <c r="E58" s="6">
        <v>140.86666666666665</v>
      </c>
      <c r="F58" s="6">
        <v>164.36666666666667</v>
      </c>
      <c r="G58" s="5">
        <f t="shared" si="16"/>
        <v>0.1671005917159763</v>
      </c>
      <c r="H58" s="5">
        <f t="shared" si="17"/>
        <v>0.16682442025556105</v>
      </c>
      <c r="K58" t="s">
        <v>154</v>
      </c>
      <c r="L58" s="5">
        <v>0.12690692018571739</v>
      </c>
    </row>
    <row r="59" spans="2:12" x14ac:dyDescent="0.25">
      <c r="B59" t="s">
        <v>155</v>
      </c>
      <c r="C59" s="6">
        <v>109.3</v>
      </c>
      <c r="D59" s="6">
        <v>113.76666666666665</v>
      </c>
      <c r="E59" s="6">
        <v>113.40000000000002</v>
      </c>
      <c r="F59" s="6">
        <v>121.16666666666667</v>
      </c>
      <c r="G59" s="5">
        <f t="shared" si="16"/>
        <v>6.5045414591268863E-2</v>
      </c>
      <c r="H59" s="5">
        <f>(F59-E59)/E59</f>
        <v>6.8489124044679453E-2</v>
      </c>
      <c r="K59" t="s">
        <v>156</v>
      </c>
      <c r="L59" s="5">
        <v>0.12126537785588758</v>
      </c>
    </row>
    <row r="60" spans="2:12" x14ac:dyDescent="0.25">
      <c r="B60" t="s">
        <v>156</v>
      </c>
      <c r="C60" s="6">
        <v>139.56666666666669</v>
      </c>
      <c r="D60" s="6">
        <v>151.73333333333332</v>
      </c>
      <c r="E60" s="6">
        <v>152.9</v>
      </c>
      <c r="F60" s="6">
        <v>170.13333333333333</v>
      </c>
      <c r="G60" s="5">
        <f>(F60-D60)/D60</f>
        <v>0.12126537785588758</v>
      </c>
      <c r="H60" s="5">
        <f t="shared" si="17"/>
        <v>0.11270983213429248</v>
      </c>
      <c r="K60" t="s">
        <v>153</v>
      </c>
      <c r="L60" s="5">
        <v>0.12096618357487927</v>
      </c>
    </row>
    <row r="61" spans="2:12" x14ac:dyDescent="0.25">
      <c r="B61" t="s">
        <v>142</v>
      </c>
      <c r="C61" s="6">
        <v>132.79999999999998</v>
      </c>
      <c r="D61" s="6">
        <v>136.03333333333333</v>
      </c>
      <c r="E61" s="6">
        <v>136.23333333333335</v>
      </c>
      <c r="F61" s="6">
        <v>163.46666666666667</v>
      </c>
      <c r="G61" s="5">
        <f t="shared" si="16"/>
        <v>0.20166625827003187</v>
      </c>
      <c r="H61" s="5">
        <f t="shared" si="17"/>
        <v>0.19990212870075838</v>
      </c>
      <c r="K61" t="s">
        <v>157</v>
      </c>
      <c r="L61" s="5">
        <v>0.12089416058394133</v>
      </c>
    </row>
    <row r="62" spans="2:12" x14ac:dyDescent="0.25">
      <c r="B62" t="s">
        <v>158</v>
      </c>
      <c r="C62" s="6">
        <v>154.53333333333333</v>
      </c>
      <c r="D62" s="6">
        <v>159.1</v>
      </c>
      <c r="E62" s="6">
        <v>159.56666666666666</v>
      </c>
      <c r="F62" s="6">
        <v>176.6</v>
      </c>
      <c r="G62" s="5">
        <f t="shared" si="16"/>
        <v>0.10999371464487744</v>
      </c>
      <c r="H62" s="5">
        <f t="shared" si="17"/>
        <v>0.10674744098600375</v>
      </c>
      <c r="K62" t="s">
        <v>159</v>
      </c>
      <c r="L62" s="5">
        <v>0.11917458845351279</v>
      </c>
    </row>
    <row r="63" spans="2:12" x14ac:dyDescent="0.25">
      <c r="B63" t="s">
        <v>148</v>
      </c>
      <c r="C63" s="6">
        <v>163.53333333333333</v>
      </c>
      <c r="D63" s="6">
        <v>170.5</v>
      </c>
      <c r="E63" s="6">
        <v>171.66666666666666</v>
      </c>
      <c r="F63" s="6">
        <v>193.33333333333334</v>
      </c>
      <c r="G63" s="5">
        <f t="shared" si="16"/>
        <v>0.133919843597263</v>
      </c>
      <c r="H63" s="5">
        <f t="shared" si="17"/>
        <v>0.12621359223300982</v>
      </c>
      <c r="K63" t="s">
        <v>93</v>
      </c>
      <c r="L63" s="5">
        <v>0.11828720132481658</v>
      </c>
    </row>
    <row r="64" spans="2:12" x14ac:dyDescent="0.25">
      <c r="B64" t="s">
        <v>92</v>
      </c>
      <c r="C64" s="6">
        <v>147.06666666666669</v>
      </c>
      <c r="D64" s="6">
        <v>150.36666666666667</v>
      </c>
      <c r="E64" s="6">
        <v>150.76666666666665</v>
      </c>
      <c r="F64" s="6">
        <v>167.86666666666667</v>
      </c>
      <c r="G64" s="5">
        <f t="shared" si="16"/>
        <v>0.11638217690090888</v>
      </c>
      <c r="H64" s="5">
        <f t="shared" si="17"/>
        <v>0.11342029626354205</v>
      </c>
      <c r="K64" t="s">
        <v>72</v>
      </c>
      <c r="L64" s="5">
        <v>0.11689884918231382</v>
      </c>
    </row>
    <row r="65" spans="2:12" x14ac:dyDescent="0.25">
      <c r="B65" t="s">
        <v>93</v>
      </c>
      <c r="C65" s="6">
        <v>138.16666666666666</v>
      </c>
      <c r="D65" s="6">
        <v>140.9</v>
      </c>
      <c r="E65" s="6">
        <v>141.10000000000002</v>
      </c>
      <c r="F65" s="6">
        <v>157.56666666666666</v>
      </c>
      <c r="G65" s="5">
        <f t="shared" si="16"/>
        <v>0.11828720132481658</v>
      </c>
      <c r="H65" s="5">
        <f t="shared" si="17"/>
        <v>0.11670210252775788</v>
      </c>
      <c r="K65" t="s">
        <v>92</v>
      </c>
      <c r="L65" s="5">
        <v>0.11638217690090888</v>
      </c>
    </row>
    <row r="66" spans="2:12" x14ac:dyDescent="0.25">
      <c r="B66" t="s">
        <v>160</v>
      </c>
      <c r="C66" s="6">
        <v>147.69999999999999</v>
      </c>
      <c r="D66" s="6">
        <v>154.80000000000001</v>
      </c>
      <c r="E66" s="6">
        <v>154.5</v>
      </c>
      <c r="F66" s="6">
        <v>163.4</v>
      </c>
      <c r="G66" s="5">
        <f t="shared" si="16"/>
        <v>5.5555555555555518E-2</v>
      </c>
      <c r="H66" s="5">
        <f t="shared" si="17"/>
        <v>5.7605177993527545E-2</v>
      </c>
      <c r="K66" t="s">
        <v>161</v>
      </c>
      <c r="L66" s="5">
        <v>0.1144901610017891</v>
      </c>
    </row>
    <row r="67" spans="2:12" x14ac:dyDescent="0.25">
      <c r="B67" t="s">
        <v>157</v>
      </c>
      <c r="C67" s="6">
        <v>138.1</v>
      </c>
      <c r="D67" s="6">
        <v>146.13333333333335</v>
      </c>
      <c r="E67" s="6">
        <v>147.9</v>
      </c>
      <c r="F67" s="6">
        <v>163.79999999999998</v>
      </c>
      <c r="G67" s="5">
        <f t="shared" si="16"/>
        <v>0.12089416058394133</v>
      </c>
      <c r="H67" s="5">
        <f t="shared" si="17"/>
        <v>0.10750507099391465</v>
      </c>
      <c r="K67" t="s">
        <v>158</v>
      </c>
      <c r="L67" s="5">
        <v>0.10999371464487744</v>
      </c>
    </row>
    <row r="68" spans="2:12" x14ac:dyDescent="0.25">
      <c r="B68" t="s">
        <v>154</v>
      </c>
      <c r="C68" s="6">
        <v>144.16666666666666</v>
      </c>
      <c r="D68" s="6">
        <v>150.76666666666668</v>
      </c>
      <c r="E68" s="6">
        <v>151.33333333333334</v>
      </c>
      <c r="F68" s="6">
        <v>169.9</v>
      </c>
      <c r="G68" s="5">
        <f t="shared" si="16"/>
        <v>0.12690692018571739</v>
      </c>
      <c r="H68" s="5">
        <f t="shared" si="17"/>
        <v>0.1226872246696035</v>
      </c>
      <c r="K68" t="s">
        <v>137</v>
      </c>
      <c r="L68" s="5">
        <v>0.10301741779980894</v>
      </c>
    </row>
    <row r="69" spans="2:12" x14ac:dyDescent="0.25">
      <c r="B69" t="s">
        <v>143</v>
      </c>
      <c r="C69" s="6">
        <v>123.5</v>
      </c>
      <c r="D69" s="6">
        <v>130.5</v>
      </c>
      <c r="E69" s="6">
        <v>130.1</v>
      </c>
      <c r="F69" s="6">
        <v>155.86666666666667</v>
      </c>
      <c r="G69" s="5">
        <f t="shared" si="16"/>
        <v>0.19438058748403581</v>
      </c>
      <c r="H69" s="5">
        <f t="shared" si="17"/>
        <v>0.19805277991288764</v>
      </c>
      <c r="K69" t="s">
        <v>151</v>
      </c>
      <c r="L69" s="5">
        <v>9.3045112781955222E-2</v>
      </c>
    </row>
    <row r="70" spans="2:12" x14ac:dyDescent="0.25">
      <c r="B70" t="s">
        <v>159</v>
      </c>
      <c r="C70" s="6">
        <v>137.16666666666666</v>
      </c>
      <c r="D70" s="6">
        <v>143.76666666666665</v>
      </c>
      <c r="E70" s="6">
        <v>144.26666666666668</v>
      </c>
      <c r="F70" s="6">
        <v>160.9</v>
      </c>
      <c r="G70" s="5">
        <f t="shared" si="16"/>
        <v>0.11917458845351279</v>
      </c>
      <c r="H70" s="5">
        <f t="shared" si="17"/>
        <v>0.11529574861367831</v>
      </c>
      <c r="K70" t="s">
        <v>155</v>
      </c>
      <c r="L70" s="5">
        <v>6.5045414591268863E-2</v>
      </c>
    </row>
    <row r="71" spans="2:12" x14ac:dyDescent="0.25">
      <c r="B71" t="s">
        <v>162</v>
      </c>
      <c r="C71" s="6">
        <v>150.66666666666666</v>
      </c>
      <c r="D71" s="6">
        <v>156.76666666666665</v>
      </c>
      <c r="E71" s="6">
        <v>156.6</v>
      </c>
      <c r="F71" s="6">
        <v>164.9</v>
      </c>
      <c r="G71" s="5">
        <f t="shared" si="16"/>
        <v>5.1881777588773263E-2</v>
      </c>
      <c r="H71" s="5">
        <f t="shared" si="17"/>
        <v>5.3001277139208249E-2</v>
      </c>
      <c r="K71" t="s">
        <v>149</v>
      </c>
      <c r="L71" s="5">
        <v>6.0344827586207052E-2</v>
      </c>
    </row>
    <row r="72" spans="2:12" x14ac:dyDescent="0.25">
      <c r="B72" t="s">
        <v>150</v>
      </c>
      <c r="C72" s="6">
        <v>132.66666666666666</v>
      </c>
      <c r="D72" s="6">
        <v>143.43333333333331</v>
      </c>
      <c r="E72" s="6">
        <v>145.20000000000002</v>
      </c>
      <c r="F72" s="6">
        <v>162.6</v>
      </c>
      <c r="G72" s="5">
        <f t="shared" si="16"/>
        <v>0.13362770160353257</v>
      </c>
      <c r="H72" s="5">
        <f t="shared" si="17"/>
        <v>0.11983471074380148</v>
      </c>
      <c r="K72" t="s">
        <v>160</v>
      </c>
      <c r="L72" s="5">
        <v>5.5555555555555518E-2</v>
      </c>
    </row>
    <row r="73" spans="2:12" x14ac:dyDescent="0.25">
      <c r="B73" t="s">
        <v>152</v>
      </c>
      <c r="C73" s="6">
        <v>136.80000000000001</v>
      </c>
      <c r="D73" s="6">
        <v>143.46666666666667</v>
      </c>
      <c r="E73" s="6">
        <v>143.70000000000002</v>
      </c>
      <c r="F73" s="6">
        <v>161.93333333333334</v>
      </c>
      <c r="G73" s="5">
        <f t="shared" si="16"/>
        <v>0.12871747211895912</v>
      </c>
      <c r="H73" s="5">
        <f t="shared" si="17"/>
        <v>0.1268847135235443</v>
      </c>
      <c r="K73" t="s">
        <v>162</v>
      </c>
      <c r="L73" s="5">
        <v>5.1881777588773263E-2</v>
      </c>
    </row>
    <row r="74" spans="2:12" x14ac:dyDescent="0.25">
      <c r="B74" t="s">
        <v>161</v>
      </c>
      <c r="C74" s="6">
        <v>139.53333333333333</v>
      </c>
      <c r="D74" s="6">
        <v>149.06666666666663</v>
      </c>
      <c r="E74" s="6">
        <v>148.56666666666666</v>
      </c>
      <c r="F74" s="6">
        <v>166.13333333333333</v>
      </c>
      <c r="G74" s="5">
        <f t="shared" si="16"/>
        <v>0.1144901610017891</v>
      </c>
      <c r="H74" s="5">
        <f t="shared" si="17"/>
        <v>0.11824096926183529</v>
      </c>
      <c r="K74" t="s">
        <v>146</v>
      </c>
      <c r="L74" s="5">
        <v>2.8722426470588171E-2</v>
      </c>
    </row>
  </sheetData>
  <sortState xmlns:xlrd2="http://schemas.microsoft.com/office/spreadsheetml/2017/richdata2" ref="K46:L74">
    <sortCondition descending="1" ref="L46:L74"/>
  </sortState>
  <mergeCells count="4">
    <mergeCell ref="C8:D8"/>
    <mergeCell ref="E8:F8"/>
    <mergeCell ref="P8:Q8"/>
    <mergeCell ref="S8:T8"/>
  </mergeCells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90EE-6A55-484C-9FA5-07464387AA39}">
  <dimension ref="A1:BK138"/>
  <sheetViews>
    <sheetView topLeftCell="A111" workbookViewId="0">
      <selection activeCell="AX124" sqref="AX124"/>
    </sheetView>
  </sheetViews>
  <sheetFormatPr defaultRowHeight="13.2" x14ac:dyDescent="0.25"/>
  <cols>
    <col min="1" max="1" width="15" customWidth="1"/>
    <col min="2" max="2" width="37" customWidth="1"/>
    <col min="3" max="3" width="13.88671875" customWidth="1"/>
    <col min="4" max="5" width="7.6640625" customWidth="1"/>
    <col min="6" max="6" width="6.88671875" customWidth="1"/>
    <col min="7" max="7" width="6.6640625" customWidth="1"/>
    <col min="8" max="8" width="7.109375" customWidth="1"/>
    <col min="9" max="9" width="6.88671875" customWidth="1"/>
    <col min="10" max="10" width="6.6640625" customWidth="1"/>
    <col min="11" max="11" width="7.109375" customWidth="1"/>
    <col min="12" max="12" width="7" customWidth="1"/>
    <col min="13" max="13" width="7.109375" customWidth="1"/>
    <col min="14" max="14" width="7" customWidth="1"/>
    <col min="15" max="15" width="7.5546875" customWidth="1"/>
    <col min="16" max="16" width="8.5546875" customWidth="1"/>
    <col min="17" max="17" width="8.44140625" customWidth="1"/>
    <col min="18" max="18" width="6.88671875" bestFit="1" customWidth="1"/>
    <col min="19" max="19" width="6.6640625" customWidth="1"/>
    <col min="20" max="20" width="7.109375" customWidth="1"/>
    <col min="21" max="21" width="6.88671875" customWidth="1"/>
    <col min="22" max="22" width="6.6640625" customWidth="1"/>
    <col min="23" max="23" width="7.109375" customWidth="1"/>
    <col min="24" max="24" width="7" bestFit="1" customWidth="1"/>
    <col min="25" max="25" width="6.6640625" customWidth="1"/>
    <col min="26" max="26" width="7" customWidth="1"/>
    <col min="27" max="27" width="7.6640625" customWidth="1"/>
    <col min="28" max="28" width="6.6640625" customWidth="1"/>
    <col min="29" max="30" width="6.88671875" customWidth="1"/>
    <col min="31" max="31" width="7.33203125" customWidth="1"/>
    <col min="32" max="33" width="7.109375" bestFit="1" customWidth="1"/>
    <col min="34" max="34" width="7" bestFit="1" customWidth="1"/>
    <col min="35" max="35" width="7.109375" bestFit="1" customWidth="1"/>
    <col min="36" max="37" width="7" bestFit="1" customWidth="1"/>
    <col min="38" max="38" width="6.6640625" bestFit="1" customWidth="1"/>
    <col min="39" max="40" width="6.88671875" bestFit="1" customWidth="1"/>
    <col min="41" max="41" width="6.6640625" bestFit="1" customWidth="1"/>
    <col min="42" max="43" width="7.109375" bestFit="1" customWidth="1"/>
    <col min="44" max="44" width="6.6640625" bestFit="1" customWidth="1"/>
    <col min="45" max="45" width="7.109375" bestFit="1" customWidth="1"/>
    <col min="46" max="46" width="7" bestFit="1" customWidth="1"/>
    <col min="47" max="47" width="6.6640625" bestFit="1" customWidth="1"/>
    <col min="48" max="48" width="7" bestFit="1" customWidth="1"/>
    <col min="49" max="49" width="7.6640625" bestFit="1" customWidth="1"/>
    <col min="50" max="50" width="6.6640625" bestFit="1" customWidth="1"/>
    <col min="51" max="52" width="6.88671875" bestFit="1" customWidth="1"/>
    <col min="53" max="53" width="6.6640625" bestFit="1" customWidth="1"/>
    <col min="54" max="54" width="7.109375" bestFit="1" customWidth="1"/>
    <col min="55" max="55" width="6.88671875" bestFit="1" customWidth="1"/>
    <col min="56" max="57" width="7.109375" bestFit="1" customWidth="1"/>
    <col min="58" max="58" width="7" bestFit="1" customWidth="1"/>
    <col min="59" max="59" width="6.6640625" bestFit="1" customWidth="1"/>
    <col min="60" max="61" width="7" bestFit="1" customWidth="1"/>
    <col min="62" max="62" width="6.6640625" bestFit="1" customWidth="1"/>
    <col min="63" max="64" width="6.88671875" bestFit="1" customWidth="1"/>
    <col min="65" max="65" width="6.6640625" bestFit="1" customWidth="1"/>
    <col min="66" max="66" width="7.109375" bestFit="1" customWidth="1"/>
    <col min="67" max="67" width="6.88671875" bestFit="1" customWidth="1"/>
    <col min="68" max="68" width="6.6640625" bestFit="1" customWidth="1"/>
    <col min="69" max="69" width="7.109375" bestFit="1" customWidth="1"/>
    <col min="70" max="70" width="7" bestFit="1" customWidth="1"/>
    <col min="71" max="71" width="6.6640625" bestFit="1" customWidth="1"/>
    <col min="72" max="73" width="7" bestFit="1" customWidth="1"/>
    <col min="74" max="74" width="6.6640625" bestFit="1" customWidth="1"/>
    <col min="75" max="76" width="6.88671875" bestFit="1" customWidth="1"/>
    <col min="77" max="77" width="7.109375" bestFit="1" customWidth="1"/>
    <col min="78" max="78" width="6.88671875" bestFit="1" customWidth="1"/>
    <col min="79" max="79" width="6.6640625" bestFit="1" customWidth="1"/>
    <col min="80" max="80" width="7.109375" bestFit="1" customWidth="1"/>
    <col min="81" max="81" width="7" bestFit="1" customWidth="1"/>
    <col min="82" max="82" width="6.5546875" bestFit="1" customWidth="1"/>
    <col min="83" max="84" width="7" bestFit="1" customWidth="1"/>
    <col min="85" max="85" width="6.6640625" bestFit="1" customWidth="1"/>
    <col min="86" max="86" width="7.6640625" bestFit="1" customWidth="1"/>
    <col min="87" max="87" width="6.88671875" bestFit="1" customWidth="1"/>
    <col min="88" max="88" width="7" bestFit="1" customWidth="1"/>
    <col min="89" max="89" width="7.109375" bestFit="1" customWidth="1"/>
    <col min="90" max="90" width="6.88671875" bestFit="1" customWidth="1"/>
    <col min="91" max="91" width="6.33203125" bestFit="1" customWidth="1"/>
    <col min="92" max="92" width="7.109375" bestFit="1" customWidth="1"/>
    <col min="93" max="93" width="7" bestFit="1" customWidth="1"/>
    <col min="94" max="94" width="7.109375" bestFit="1" customWidth="1"/>
    <col min="95" max="96" width="7" bestFit="1" customWidth="1"/>
    <col min="97" max="98" width="7.6640625" bestFit="1" customWidth="1"/>
    <col min="99" max="99" width="6.88671875" bestFit="1" customWidth="1"/>
    <col min="100" max="100" width="6.6640625" bestFit="1" customWidth="1"/>
    <col min="101" max="101" width="7.109375" bestFit="1" customWidth="1"/>
    <col min="102" max="102" width="6.88671875" bestFit="1" customWidth="1"/>
    <col min="103" max="103" width="6.6640625" bestFit="1" customWidth="1"/>
    <col min="104" max="104" width="7.109375" bestFit="1" customWidth="1"/>
    <col min="105" max="105" width="7" bestFit="1" customWidth="1"/>
    <col min="106" max="106" width="7.109375" bestFit="1" customWidth="1"/>
    <col min="107" max="108" width="7" bestFit="1" customWidth="1"/>
    <col min="109" max="109" width="6.6640625" bestFit="1" customWidth="1"/>
    <col min="110" max="111" width="6.88671875" bestFit="1" customWidth="1"/>
    <col min="112" max="112" width="6.6640625" bestFit="1" customWidth="1"/>
    <col min="113" max="113" width="7.109375" bestFit="1" customWidth="1"/>
    <col min="114" max="114" width="6.88671875" bestFit="1" customWidth="1"/>
    <col min="115" max="115" width="6.6640625" bestFit="1" customWidth="1"/>
    <col min="116" max="116" width="7.109375" bestFit="1" customWidth="1"/>
    <col min="117" max="117" width="7" bestFit="1" customWidth="1"/>
    <col min="118" max="118" width="6.6640625" bestFit="1" customWidth="1"/>
    <col min="119" max="119" width="7" bestFit="1" customWidth="1"/>
    <col min="120" max="120" width="7.6640625" bestFit="1" customWidth="1"/>
    <col min="121" max="121" width="6.6640625" bestFit="1" customWidth="1"/>
    <col min="122" max="123" width="6.88671875" bestFit="1" customWidth="1"/>
    <col min="124" max="124" width="6.6640625" bestFit="1" customWidth="1"/>
    <col min="125" max="125" width="7.109375" bestFit="1" customWidth="1"/>
  </cols>
  <sheetData>
    <row r="1" spans="1:63" ht="15.6" x14ac:dyDescent="0.3">
      <c r="A1" s="24" t="s">
        <v>1</v>
      </c>
      <c r="B1" s="24"/>
      <c r="C1" s="24" t="s">
        <v>37</v>
      </c>
      <c r="D1" s="24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24" t="s">
        <v>54</v>
      </c>
      <c r="Q1" s="29" t="s">
        <v>1</v>
      </c>
      <c r="R1" s="29" t="s">
        <v>66</v>
      </c>
      <c r="S1" s="30" t="s">
        <v>37</v>
      </c>
      <c r="T1" s="30" t="s">
        <v>41</v>
      </c>
      <c r="U1" s="30" t="s">
        <v>42</v>
      </c>
      <c r="V1" s="30" t="s">
        <v>43</v>
      </c>
      <c r="W1" s="30" t="s">
        <v>44</v>
      </c>
      <c r="X1" s="30" t="s">
        <v>45</v>
      </c>
      <c r="Y1" s="30" t="s">
        <v>46</v>
      </c>
      <c r="Z1" s="30" t="s">
        <v>47</v>
      </c>
      <c r="AA1" s="30" t="s">
        <v>48</v>
      </c>
      <c r="AB1" s="30" t="s">
        <v>49</v>
      </c>
      <c r="AC1" s="30" t="s">
        <v>50</v>
      </c>
      <c r="AD1" s="30" t="s">
        <v>51</v>
      </c>
      <c r="AE1" s="27" t="s">
        <v>163</v>
      </c>
      <c r="AG1" s="29" t="s">
        <v>1</v>
      </c>
      <c r="AH1" s="29" t="s">
        <v>66</v>
      </c>
      <c r="AI1" s="30" t="s">
        <v>37</v>
      </c>
      <c r="AJ1" s="30" t="s">
        <v>41</v>
      </c>
      <c r="AK1" s="30" t="s">
        <v>42</v>
      </c>
      <c r="AL1" s="30" t="s">
        <v>43</v>
      </c>
      <c r="AM1" s="30" t="s">
        <v>44</v>
      </c>
      <c r="AN1" s="30" t="s">
        <v>45</v>
      </c>
      <c r="AO1" s="30" t="s">
        <v>46</v>
      </c>
      <c r="AP1" s="30" t="s">
        <v>47</v>
      </c>
      <c r="AQ1" s="30" t="s">
        <v>48</v>
      </c>
      <c r="AR1" s="30" t="s">
        <v>49</v>
      </c>
      <c r="AS1" s="30" t="s">
        <v>50</v>
      </c>
      <c r="AT1" s="30" t="s">
        <v>51</v>
      </c>
      <c r="AU1" s="27" t="s">
        <v>163</v>
      </c>
      <c r="AW1" s="29" t="s">
        <v>1</v>
      </c>
      <c r="AX1" s="29" t="s">
        <v>66</v>
      </c>
      <c r="AY1" s="30" t="s">
        <v>37</v>
      </c>
      <c r="AZ1" s="30" t="s">
        <v>41</v>
      </c>
      <c r="BA1" s="30" t="s">
        <v>42</v>
      </c>
      <c r="BB1" s="30" t="s">
        <v>43</v>
      </c>
      <c r="BC1" s="30" t="s">
        <v>44</v>
      </c>
      <c r="BD1" s="30" t="s">
        <v>45</v>
      </c>
      <c r="BE1" s="30" t="s">
        <v>46</v>
      </c>
      <c r="BF1" s="30" t="s">
        <v>47</v>
      </c>
      <c r="BG1" s="30" t="s">
        <v>48</v>
      </c>
      <c r="BH1" s="30" t="s">
        <v>49</v>
      </c>
      <c r="BI1" s="30" t="s">
        <v>50</v>
      </c>
      <c r="BJ1" s="30" t="s">
        <v>51</v>
      </c>
      <c r="BK1" s="27" t="s">
        <v>163</v>
      </c>
    </row>
    <row r="2" spans="1:63" ht="15.6" x14ac:dyDescent="0.3">
      <c r="A2" s="25">
        <v>2021</v>
      </c>
      <c r="B2" s="26">
        <v>49.84</v>
      </c>
      <c r="C2" s="26">
        <v>54.79</v>
      </c>
      <c r="D2" s="26">
        <v>61.22</v>
      </c>
      <c r="E2" s="26">
        <v>64.73</v>
      </c>
      <c r="F2" s="26">
        <v>63.4</v>
      </c>
      <c r="G2" s="26">
        <v>66.95</v>
      </c>
      <c r="H2" s="26">
        <v>71.98</v>
      </c>
      <c r="I2" s="26">
        <v>73.540000000000006</v>
      </c>
      <c r="J2" s="26">
        <v>69.8</v>
      </c>
      <c r="K2" s="26">
        <v>73.13</v>
      </c>
      <c r="L2" s="26">
        <v>82.11</v>
      </c>
      <c r="M2" s="26">
        <v>80.64</v>
      </c>
      <c r="N2" s="26">
        <v>73.3</v>
      </c>
      <c r="O2" s="26">
        <f t="shared" ref="O2:O4" si="0">AVERAGE(C2:N2)</f>
        <v>69.632500000000007</v>
      </c>
      <c r="Q2" s="32">
        <v>2021</v>
      </c>
      <c r="R2" s="27" t="s">
        <v>164</v>
      </c>
      <c r="S2" s="2"/>
      <c r="T2" s="2">
        <v>0.11735718196751231</v>
      </c>
      <c r="U2" s="2">
        <v>5.7334204508330697E-2</v>
      </c>
      <c r="V2" s="2">
        <v>-2.0546887069365138E-2</v>
      </c>
      <c r="W2" s="2">
        <v>5.5993690851735084E-2</v>
      </c>
      <c r="X2" s="2">
        <v>7.5130694548170285E-2</v>
      </c>
      <c r="Y2" s="2">
        <v>2.1672686857460436E-2</v>
      </c>
      <c r="Z2" s="2">
        <v>-5.0856676638564163E-2</v>
      </c>
      <c r="AA2" s="2">
        <v>4.7707736389684792E-2</v>
      </c>
      <c r="AB2" s="2">
        <v>0.12279502256255989</v>
      </c>
      <c r="AC2" s="2">
        <v>-1.7902813299232722E-2</v>
      </c>
      <c r="AD2" s="2">
        <v>-9.1021825396825434E-2</v>
      </c>
      <c r="AE2" s="33"/>
      <c r="AG2" s="32">
        <v>2022</v>
      </c>
      <c r="AH2" s="27" t="s">
        <v>164</v>
      </c>
      <c r="AI2" s="2"/>
      <c r="AJ2" s="2">
        <v>0.11101925121058216</v>
      </c>
      <c r="AK2" s="2">
        <v>0.19985117465717034</v>
      </c>
      <c r="AL2" s="2">
        <v>-8.7711526534951761E-2</v>
      </c>
      <c r="AM2" s="2">
        <v>6.3513644750898379E-2</v>
      </c>
      <c r="AN2" s="2">
        <v>5.9355310017350012E-2</v>
      </c>
      <c r="AO2" s="2">
        <v>-9.0681837772605897E-2</v>
      </c>
      <c r="AP2" s="2">
        <v>-7.6689733624040093E-2</v>
      </c>
      <c r="AQ2" s="2">
        <v>-6.8685831622176716E-2</v>
      </c>
      <c r="AR2" s="2">
        <v>1.0913901444162818E-2</v>
      </c>
      <c r="AS2" s="2">
        <v>-4.5256270447110204E-2</v>
      </c>
      <c r="AT2" s="2">
        <v>-0.10793832095945177</v>
      </c>
      <c r="AW2" s="32">
        <v>2023</v>
      </c>
      <c r="AX2" s="27" t="s">
        <v>164</v>
      </c>
      <c r="AY2" s="2"/>
      <c r="AZ2" s="2">
        <v>1.6806722689075623E-2</v>
      </c>
      <c r="BA2" s="2">
        <v>-4.5454545454545393E-2</v>
      </c>
      <c r="BB2" s="2">
        <v>6.6462948815889974E-2</v>
      </c>
      <c r="BC2" s="2">
        <v>-0.10482330468003821</v>
      </c>
      <c r="BD2" s="2">
        <v>-6.6684449186445931E-4</v>
      </c>
      <c r="BE2" s="2">
        <v>7.2601094354731041E-2</v>
      </c>
      <c r="BF2" s="2">
        <v>7.5401269130272508E-2</v>
      </c>
      <c r="BG2" s="2">
        <v>8.226310308920512E-2</v>
      </c>
      <c r="BH2" s="2">
        <v>-3.6989523198631684E-2</v>
      </c>
      <c r="BI2" s="2">
        <v>-7.3490230905861514E-2</v>
      </c>
      <c r="BJ2" s="2">
        <v>-7.2369997603642378E-2</v>
      </c>
    </row>
    <row r="3" spans="1:63" ht="15.6" x14ac:dyDescent="0.3">
      <c r="A3" s="25">
        <v>2022</v>
      </c>
      <c r="B3" s="25"/>
      <c r="C3" s="26">
        <v>84.67</v>
      </c>
      <c r="D3" s="26">
        <v>94.07</v>
      </c>
      <c r="E3" s="26">
        <v>112.87</v>
      </c>
      <c r="F3" s="26">
        <v>102.97</v>
      </c>
      <c r="G3" s="26">
        <v>109.51</v>
      </c>
      <c r="H3" s="26">
        <v>116.01</v>
      </c>
      <c r="I3" s="26">
        <v>105.49</v>
      </c>
      <c r="J3" s="26">
        <v>97.4</v>
      </c>
      <c r="K3" s="26">
        <v>90.71</v>
      </c>
      <c r="L3" s="26">
        <v>91.7</v>
      </c>
      <c r="M3" s="26">
        <v>87.55</v>
      </c>
      <c r="N3" s="26">
        <v>78.099999999999994</v>
      </c>
      <c r="O3" s="26">
        <f t="shared" si="0"/>
        <v>97.587499999999991</v>
      </c>
      <c r="Q3" s="32">
        <v>2021</v>
      </c>
      <c r="R3" t="s">
        <v>67</v>
      </c>
      <c r="S3" s="2"/>
      <c r="T3" s="2">
        <v>-3.6672014668803791E-3</v>
      </c>
      <c r="U3" s="2">
        <v>-1.3802622498273887E-3</v>
      </c>
      <c r="V3" s="2">
        <v>1.1518083390921129E-3</v>
      </c>
      <c r="W3" s="2">
        <v>1.2885411872986904E-2</v>
      </c>
      <c r="X3" s="2">
        <v>2.9532030895046022E-3</v>
      </c>
      <c r="Y3" s="2">
        <v>-2.038505096262625E-3</v>
      </c>
      <c r="Z3" s="2">
        <v>4.539264639126268E-4</v>
      </c>
      <c r="AA3" s="2">
        <v>1.134301270417552E-3</v>
      </c>
      <c r="AB3" s="2">
        <v>5.211874008611013E-3</v>
      </c>
      <c r="AC3" s="2">
        <v>5.6357078449053837E-3</v>
      </c>
      <c r="AD3" s="2">
        <v>3.5866397668682108E-3</v>
      </c>
      <c r="AE3" s="33">
        <f t="shared" ref="AE3:AE29" si="1">CORREL(S3:AD3,$S$2:$AD$2)</f>
        <v>-4.4924908199238799E-2</v>
      </c>
      <c r="AG3" s="32">
        <v>2022</v>
      </c>
      <c r="AH3" t="s">
        <v>67</v>
      </c>
      <c r="AI3" s="2"/>
      <c r="AJ3" s="2">
        <v>2.8888888888889143E-3</v>
      </c>
      <c r="AK3" s="2">
        <v>8.6417017504984463E-3</v>
      </c>
      <c r="AL3" s="2">
        <v>1.0764499121265517E-2</v>
      </c>
      <c r="AM3" s="2">
        <v>7.8243860030425567E-3</v>
      </c>
      <c r="AN3" s="2">
        <v>5.6070735389262636E-3</v>
      </c>
      <c r="AO3" s="2">
        <v>1.0079348059189338E-2</v>
      </c>
      <c r="AP3" s="2">
        <v>2.3142250530785516E-2</v>
      </c>
      <c r="AQ3" s="2">
        <v>1.9506121601992069E-2</v>
      </c>
      <c r="AR3" s="2">
        <v>1.0177081213108197E-2</v>
      </c>
      <c r="AS3" s="2">
        <v>1.2895426153536293E-2</v>
      </c>
      <c r="AT3" s="2">
        <v>1.094091903719901E-2</v>
      </c>
      <c r="AU3" s="33">
        <f t="shared" ref="AU3:AU29" si="2">CORREL(AI3:AT3,$AI$2:$AT$2)</f>
        <v>-0.58509103775904059</v>
      </c>
      <c r="AW3" s="32">
        <v>2023</v>
      </c>
      <c r="AX3" t="s">
        <v>67</v>
      </c>
      <c r="AY3" s="2"/>
      <c r="AZ3" s="2">
        <v>4.2218384187293701E-3</v>
      </c>
      <c r="BA3" s="2">
        <v>1.9109497420249352E-4</v>
      </c>
      <c r="BB3" s="2">
        <v>-2.8658769583492544E-3</v>
      </c>
      <c r="BC3" s="2">
        <v>-5.7482276298170798E-4</v>
      </c>
      <c r="BD3" s="2" t="s">
        <v>52</v>
      </c>
      <c r="BE3" s="2" t="s">
        <v>52</v>
      </c>
      <c r="BF3" s="2" t="s">
        <v>52</v>
      </c>
      <c r="BG3" s="2" t="s">
        <v>52</v>
      </c>
      <c r="BH3" s="2" t="s">
        <v>52</v>
      </c>
      <c r="BI3" s="2" t="s">
        <v>52</v>
      </c>
      <c r="BJ3" s="2" t="s">
        <v>52</v>
      </c>
      <c r="BK3" s="33">
        <f t="shared" ref="BK3:BK29" si="3">CORREL(AY3:BJ3,$AY$2:$BJ$2)</f>
        <v>-7.8313994625569441E-2</v>
      </c>
    </row>
    <row r="4" spans="1:63" ht="15.6" x14ac:dyDescent="0.3">
      <c r="A4" s="25">
        <v>2023</v>
      </c>
      <c r="B4" s="25"/>
      <c r="C4" s="26">
        <v>80.92</v>
      </c>
      <c r="D4" s="26">
        <v>82.28</v>
      </c>
      <c r="E4" s="26">
        <v>78.540000000000006</v>
      </c>
      <c r="F4" s="26">
        <v>83.76</v>
      </c>
      <c r="G4" s="26">
        <v>74.98</v>
      </c>
      <c r="H4" s="26">
        <v>74.930000000000007</v>
      </c>
      <c r="I4" s="26">
        <v>80.37</v>
      </c>
      <c r="J4" s="26">
        <v>86.43</v>
      </c>
      <c r="K4" s="26">
        <v>93.54</v>
      </c>
      <c r="L4" s="26">
        <v>90.08</v>
      </c>
      <c r="M4" s="26">
        <v>83.46</v>
      </c>
      <c r="N4" s="26">
        <v>77.42</v>
      </c>
      <c r="O4" s="26">
        <f t="shared" si="0"/>
        <v>82.225833333333341</v>
      </c>
      <c r="Q4" s="32">
        <v>2021</v>
      </c>
      <c r="R4" t="s">
        <v>69</v>
      </c>
      <c r="S4" s="2"/>
      <c r="T4" s="2">
        <v>-1.8693221523410037E-2</v>
      </c>
      <c r="U4" s="2">
        <v>3.0977390065871368E-2</v>
      </c>
      <c r="V4" s="2">
        <v>2.9183215334139142E-2</v>
      </c>
      <c r="W4" s="2">
        <v>1.2248322147651026E-2</v>
      </c>
      <c r="X4" s="2">
        <v>7.1274656058345955E-3</v>
      </c>
      <c r="Y4" s="2">
        <v>2.4028966425279828E-2</v>
      </c>
      <c r="Z4" s="2">
        <v>-1.3661202185792257E-2</v>
      </c>
      <c r="AA4" s="2">
        <v>-3.2589212970518799E-4</v>
      </c>
      <c r="AB4" s="2">
        <v>3.2599837000814535E-3</v>
      </c>
      <c r="AC4" s="2">
        <v>-1.494719740048739E-2</v>
      </c>
      <c r="AD4" s="2">
        <v>-1.3689592610918613E-2</v>
      </c>
      <c r="AE4" s="33">
        <f t="shared" si="1"/>
        <v>0.16101643390740009</v>
      </c>
      <c r="AG4" s="32">
        <v>2022</v>
      </c>
      <c r="AH4" t="s">
        <v>69</v>
      </c>
      <c r="AI4" s="2"/>
      <c r="AJ4" s="2">
        <v>1.0373096871340118E-2</v>
      </c>
      <c r="AK4" s="2">
        <v>5.0670640834575349E-2</v>
      </c>
      <c r="AL4" s="2">
        <v>4.4129235618596153E-3</v>
      </c>
      <c r="AM4" s="2">
        <v>2.447826769182497E-2</v>
      </c>
      <c r="AN4" s="2">
        <v>1.0874559656915337E-2</v>
      </c>
      <c r="AO4" s="2">
        <v>-2.8939393939393845E-2</v>
      </c>
      <c r="AP4" s="2">
        <v>-3.0269932906849883E-2</v>
      </c>
      <c r="AQ4" s="2">
        <v>1.303298471440059E-2</v>
      </c>
      <c r="AR4" s="2">
        <v>7.9415501905972952E-3</v>
      </c>
      <c r="AS4" s="2">
        <v>-7.2486605735896537E-3</v>
      </c>
      <c r="AT4" s="2">
        <v>-1.9047619047619319E-3</v>
      </c>
      <c r="AU4" s="33">
        <f t="shared" si="2"/>
        <v>0.78590425016998611</v>
      </c>
      <c r="AW4" s="32">
        <v>2023</v>
      </c>
      <c r="AX4" t="s">
        <v>69</v>
      </c>
      <c r="AY4" s="2"/>
      <c r="AZ4" s="2">
        <v>-1.4348785871964805E-2</v>
      </c>
      <c r="BA4" s="2">
        <v>0</v>
      </c>
      <c r="BB4" s="2">
        <v>7.6787713965766578E-3</v>
      </c>
      <c r="BC4" s="2">
        <v>2.4289569772979948E-2</v>
      </c>
      <c r="BD4" s="2" t="s">
        <v>52</v>
      </c>
      <c r="BE4" s="2" t="s">
        <v>52</v>
      </c>
      <c r="BF4" s="2" t="s">
        <v>52</v>
      </c>
      <c r="BG4" s="2" t="s">
        <v>52</v>
      </c>
      <c r="BH4" s="2" t="s">
        <v>52</v>
      </c>
      <c r="BI4" s="2" t="s">
        <v>52</v>
      </c>
      <c r="BJ4" s="2" t="s">
        <v>52</v>
      </c>
      <c r="BK4" s="33">
        <f t="shared" si="3"/>
        <v>-0.55120538416517928</v>
      </c>
    </row>
    <row r="5" spans="1:63" ht="15.6" x14ac:dyDescent="0.3">
      <c r="A5" s="25">
        <v>2021</v>
      </c>
      <c r="B5" s="31" t="s">
        <v>164</v>
      </c>
      <c r="C5" s="28">
        <f>(C2-B2)/B2</f>
        <v>9.9317817014446141E-2</v>
      </c>
      <c r="D5" s="28">
        <f>(D2-C2)/C2</f>
        <v>0.11735718196751231</v>
      </c>
      <c r="E5" s="28">
        <f t="shared" ref="E5:O5" si="4">(E2-D2)/D2</f>
        <v>5.7334204508330697E-2</v>
      </c>
      <c r="F5" s="28">
        <f t="shared" si="4"/>
        <v>-2.0546887069365138E-2</v>
      </c>
      <c r="G5" s="28">
        <f t="shared" si="4"/>
        <v>5.5993690851735084E-2</v>
      </c>
      <c r="H5" s="28">
        <f t="shared" si="4"/>
        <v>7.5130694548170285E-2</v>
      </c>
      <c r="I5" s="28">
        <f t="shared" si="4"/>
        <v>2.1672686857460436E-2</v>
      </c>
      <c r="J5" s="28">
        <f t="shared" si="4"/>
        <v>-5.0856676638564163E-2</v>
      </c>
      <c r="K5" s="28">
        <f t="shared" si="4"/>
        <v>4.7707736389684792E-2</v>
      </c>
      <c r="L5" s="28">
        <f t="shared" si="4"/>
        <v>0.12279502256255989</v>
      </c>
      <c r="M5" s="28">
        <f t="shared" si="4"/>
        <v>-1.7902813299232722E-2</v>
      </c>
      <c r="N5" s="28">
        <f t="shared" si="4"/>
        <v>-9.1021825396825434E-2</v>
      </c>
      <c r="O5" s="28">
        <f t="shared" si="4"/>
        <v>-5.0034106412005321E-2</v>
      </c>
      <c r="Q5" s="32">
        <v>2021</v>
      </c>
      <c r="R5" t="s">
        <v>71</v>
      </c>
      <c r="S5" s="2"/>
      <c r="T5" s="2">
        <v>-3.8892050844242132E-2</v>
      </c>
      <c r="U5" s="2">
        <v>-2.9411764705882363E-2</v>
      </c>
      <c r="V5" s="2">
        <v>5.4911531421597149E-3</v>
      </c>
      <c r="W5" s="2">
        <v>3.5396440129449896E-2</v>
      </c>
      <c r="X5" s="2">
        <v>6.0363352217229833E-2</v>
      </c>
      <c r="Y5" s="2">
        <v>8.8430361090642388E-3</v>
      </c>
      <c r="Z5" s="2">
        <v>-4.4192841490138766E-2</v>
      </c>
      <c r="AA5" s="2">
        <v>-8.5976308750477654E-3</v>
      </c>
      <c r="AB5" s="2">
        <v>-8.8649065330508366E-3</v>
      </c>
      <c r="AC5" s="2">
        <v>1.0888586428154819E-2</v>
      </c>
      <c r="AD5" s="2">
        <v>2.7889978842085075E-2</v>
      </c>
      <c r="AE5" s="33">
        <f t="shared" si="1"/>
        <v>-0.10004168050669621</v>
      </c>
      <c r="AG5" s="32">
        <v>2022</v>
      </c>
      <c r="AH5" t="s">
        <v>71</v>
      </c>
      <c r="AI5" s="2"/>
      <c r="AJ5" s="2">
        <v>-1.7135406965915419E-2</v>
      </c>
      <c r="AK5" s="2">
        <v>-4.6048891415577158E-2</v>
      </c>
      <c r="AL5" s="2">
        <v>-1.9467620182757162E-2</v>
      </c>
      <c r="AM5" s="2">
        <v>-1.1547811993517053E-2</v>
      </c>
      <c r="AN5" s="2">
        <v>5.185488829678233E-2</v>
      </c>
      <c r="AO5" s="2">
        <v>2.513639906469186E-2</v>
      </c>
      <c r="AP5" s="2">
        <v>-3.4214027751378072E-2</v>
      </c>
      <c r="AQ5" s="2">
        <v>2.9521747687464781E-3</v>
      </c>
      <c r="AR5" s="2">
        <v>6.8681318681318116E-3</v>
      </c>
      <c r="AS5" s="2">
        <v>6.1781329175599274E-2</v>
      </c>
      <c r="AT5" s="2">
        <v>4.8458149779735747E-2</v>
      </c>
      <c r="AU5" s="33">
        <f t="shared" si="2"/>
        <v>-0.40326136786412747</v>
      </c>
      <c r="AW5" s="32">
        <v>2023</v>
      </c>
      <c r="AX5" t="s">
        <v>71</v>
      </c>
      <c r="AY5" s="2"/>
      <c r="AZ5" s="2">
        <v>-9.9418206707734477E-2</v>
      </c>
      <c r="BA5" s="2">
        <v>0</v>
      </c>
      <c r="BB5" s="2">
        <v>-3.1160934828044693E-2</v>
      </c>
      <c r="BC5" s="2">
        <v>2.1572857423024068E-2</v>
      </c>
      <c r="BD5" s="2" t="s">
        <v>52</v>
      </c>
      <c r="BE5" s="2" t="s">
        <v>52</v>
      </c>
      <c r="BF5" s="2" t="s">
        <v>52</v>
      </c>
      <c r="BG5" s="2" t="s">
        <v>52</v>
      </c>
      <c r="BH5" s="2" t="s">
        <v>52</v>
      </c>
      <c r="BI5" s="2" t="s">
        <v>52</v>
      </c>
      <c r="BJ5" s="2" t="s">
        <v>52</v>
      </c>
      <c r="BK5" s="33">
        <f t="shared" si="3"/>
        <v>-0.66439366098856956</v>
      </c>
    </row>
    <row r="6" spans="1:63" ht="15.6" x14ac:dyDescent="0.3">
      <c r="A6" s="25">
        <v>2022</v>
      </c>
      <c r="B6" s="31" t="s">
        <v>164</v>
      </c>
      <c r="C6" s="28">
        <f>(C3-N2)/N2</f>
        <v>0.15511596180081863</v>
      </c>
      <c r="D6" s="28">
        <f t="shared" ref="D6:O6" si="5">(D3-C3)/C3</f>
        <v>0.11101925121058216</v>
      </c>
      <c r="E6" s="28">
        <f t="shared" si="5"/>
        <v>0.19985117465717034</v>
      </c>
      <c r="F6" s="28">
        <f t="shared" si="5"/>
        <v>-8.7711526534951761E-2</v>
      </c>
      <c r="G6" s="28">
        <f t="shared" si="5"/>
        <v>6.3513644750898379E-2</v>
      </c>
      <c r="H6" s="28">
        <f t="shared" si="5"/>
        <v>5.9355310017350012E-2</v>
      </c>
      <c r="I6" s="28">
        <f t="shared" si="5"/>
        <v>-9.0681837772605897E-2</v>
      </c>
      <c r="J6" s="28">
        <f t="shared" si="5"/>
        <v>-7.6689733624040093E-2</v>
      </c>
      <c r="K6" s="28">
        <f t="shared" si="5"/>
        <v>-6.8685831622176716E-2</v>
      </c>
      <c r="L6" s="28">
        <f t="shared" si="5"/>
        <v>1.0913901444162818E-2</v>
      </c>
      <c r="M6" s="28">
        <f t="shared" si="5"/>
        <v>-4.5256270447110204E-2</v>
      </c>
      <c r="N6" s="28">
        <f t="shared" si="5"/>
        <v>-0.10793832095945177</v>
      </c>
      <c r="O6" s="28">
        <f t="shared" si="5"/>
        <v>0.24951984635083224</v>
      </c>
      <c r="Q6" s="32">
        <v>2021</v>
      </c>
      <c r="R6" t="s">
        <v>73</v>
      </c>
      <c r="S6" s="2"/>
      <c r="T6" s="2">
        <v>3.6756756756756515E-3</v>
      </c>
      <c r="U6" s="2">
        <v>1.7233950883240841E-3</v>
      </c>
      <c r="V6" s="2">
        <v>3.0107526881720552E-3</v>
      </c>
      <c r="W6" s="2">
        <v>4.2881646655232777E-3</v>
      </c>
      <c r="X6" s="2">
        <v>8.5397096498695971E-4</v>
      </c>
      <c r="Y6" s="2">
        <v>8.5324232081911873E-3</v>
      </c>
      <c r="Z6" s="2">
        <v>4.864636209813959E-3</v>
      </c>
      <c r="AA6" s="2">
        <v>8.4192801515465643E-4</v>
      </c>
      <c r="AB6" s="2">
        <v>1.6824395373290315E-3</v>
      </c>
      <c r="AC6" s="2">
        <v>3.5691790888097291E-3</v>
      </c>
      <c r="AD6" s="2">
        <v>3.5564853556485114E-3</v>
      </c>
      <c r="AE6" s="33">
        <f t="shared" si="1"/>
        <v>-0.32685098618435332</v>
      </c>
      <c r="AG6" s="32">
        <v>2022</v>
      </c>
      <c r="AH6" t="s">
        <v>73</v>
      </c>
      <c r="AI6" s="2"/>
      <c r="AJ6" s="2">
        <v>1.2463647694224468E-3</v>
      </c>
      <c r="AK6" s="2">
        <v>9.9585062240663547E-3</v>
      </c>
      <c r="AL6" s="2">
        <v>1.0476581758422455E-2</v>
      </c>
      <c r="AM6" s="2">
        <v>6.0988005692213867E-3</v>
      </c>
      <c r="AN6" s="2">
        <v>5.4556476055769186E-3</v>
      </c>
      <c r="AO6" s="2">
        <v>4.8231511254018264E-3</v>
      </c>
      <c r="AP6" s="2">
        <v>8.8000000000000127E-3</v>
      </c>
      <c r="AQ6" s="2">
        <v>9.7145122918318345E-3</v>
      </c>
      <c r="AR6" s="2">
        <v>6.872177498527335E-3</v>
      </c>
      <c r="AS6" s="2">
        <v>7.9953198127928893E-3</v>
      </c>
      <c r="AT6" s="2">
        <v>7.7384407041978277E-3</v>
      </c>
      <c r="AU6" s="33">
        <f t="shared" si="2"/>
        <v>-0.2756809048032533</v>
      </c>
      <c r="AW6" s="32">
        <v>2023</v>
      </c>
      <c r="AX6" t="s">
        <v>73</v>
      </c>
      <c r="AY6" s="2"/>
      <c r="AZ6" s="2">
        <v>1.545506582713249E-2</v>
      </c>
      <c r="BA6" s="2">
        <v>0</v>
      </c>
      <c r="BB6" s="2">
        <v>6.012777151446963E-3</v>
      </c>
      <c r="BC6" s="2">
        <v>5.7900635039221304E-3</v>
      </c>
      <c r="BD6" s="2" t="s">
        <v>52</v>
      </c>
      <c r="BE6" s="2" t="s">
        <v>52</v>
      </c>
      <c r="BF6" s="2" t="s">
        <v>52</v>
      </c>
      <c r="BG6" s="2" t="s">
        <v>52</v>
      </c>
      <c r="BH6" s="2" t="s">
        <v>52</v>
      </c>
      <c r="BI6" s="2" t="s">
        <v>52</v>
      </c>
      <c r="BJ6" s="2" t="s">
        <v>52</v>
      </c>
      <c r="BK6" s="33">
        <f t="shared" si="3"/>
        <v>0.35623192475209359</v>
      </c>
    </row>
    <row r="7" spans="1:63" ht="15.6" x14ac:dyDescent="0.3">
      <c r="A7" s="25">
        <v>2023</v>
      </c>
      <c r="B7" s="31" t="s">
        <v>164</v>
      </c>
      <c r="C7" s="28">
        <f>(C4-N3)/N3</f>
        <v>3.6107554417413666E-2</v>
      </c>
      <c r="D7" s="28">
        <f t="shared" ref="D7:O7" si="6">(D4-C4)/C4</f>
        <v>1.6806722689075623E-2</v>
      </c>
      <c r="E7" s="28">
        <f t="shared" si="6"/>
        <v>-4.5454545454545393E-2</v>
      </c>
      <c r="F7" s="28">
        <f t="shared" si="6"/>
        <v>6.6462948815889974E-2</v>
      </c>
      <c r="G7" s="28">
        <f t="shared" si="6"/>
        <v>-0.10482330468003821</v>
      </c>
      <c r="H7" s="28">
        <f t="shared" si="6"/>
        <v>-6.6684449186445931E-4</v>
      </c>
      <c r="I7" s="28">
        <f t="shared" si="6"/>
        <v>7.2601094354731041E-2</v>
      </c>
      <c r="J7" s="28">
        <f t="shared" si="6"/>
        <v>7.5401269130272508E-2</v>
      </c>
      <c r="K7" s="28">
        <f t="shared" si="6"/>
        <v>8.226310308920512E-2</v>
      </c>
      <c r="L7" s="28">
        <f t="shared" si="6"/>
        <v>-3.6989523198631684E-2</v>
      </c>
      <c r="M7" s="28">
        <f t="shared" si="6"/>
        <v>-7.3490230905861514E-2</v>
      </c>
      <c r="N7" s="28">
        <f t="shared" si="6"/>
        <v>-7.2369997603642378E-2</v>
      </c>
      <c r="O7" s="28">
        <f t="shared" si="6"/>
        <v>6.2074829931972865E-2</v>
      </c>
      <c r="Q7" s="32">
        <v>2021</v>
      </c>
      <c r="R7" t="s">
        <v>76</v>
      </c>
      <c r="S7" s="2"/>
      <c r="T7" s="2">
        <v>5.1800800355713737E-2</v>
      </c>
      <c r="U7" s="2">
        <v>3.2551257662227807E-2</v>
      </c>
      <c r="V7" s="2">
        <v>3.7256908904810621E-2</v>
      </c>
      <c r="W7" s="2">
        <v>4.9733570159857771E-2</v>
      </c>
      <c r="X7" s="2">
        <v>2.7072758037225111E-2</v>
      </c>
      <c r="Y7" s="2">
        <v>-8.9694307157239198E-3</v>
      </c>
      <c r="Z7" s="2">
        <v>2.3088289619504935E-2</v>
      </c>
      <c r="AA7" s="2">
        <v>8.3047481494854559E-3</v>
      </c>
      <c r="AB7" s="2">
        <v>1.3428827215756492E-2</v>
      </c>
      <c r="AC7" s="2">
        <v>-3.0035335689045737E-3</v>
      </c>
      <c r="AD7" s="2">
        <v>-1.3113592060960341E-2</v>
      </c>
      <c r="AE7" s="33">
        <f t="shared" si="1"/>
        <v>0.49933818038576383</v>
      </c>
      <c r="AG7" s="32">
        <v>2022</v>
      </c>
      <c r="AH7" t="s">
        <v>76</v>
      </c>
      <c r="AI7" s="2"/>
      <c r="AJ7" s="2">
        <v>1.276673354003366E-3</v>
      </c>
      <c r="AK7" s="2">
        <v>5.2276867030965526E-2</v>
      </c>
      <c r="AL7" s="2">
        <v>2.6311234204604295E-2</v>
      </c>
      <c r="AM7" s="2">
        <v>1.5010963062911125E-2</v>
      </c>
      <c r="AN7" s="2">
        <v>-6.9790628115651912E-3</v>
      </c>
      <c r="AO7" s="2">
        <v>-2.4765729585006852E-2</v>
      </c>
      <c r="AP7" s="2">
        <v>-1.681537405627995E-2</v>
      </c>
      <c r="AQ7" s="2">
        <v>-1.9022687609075006E-2</v>
      </c>
      <c r="AR7" s="2">
        <v>-1.1207970112079822E-2</v>
      </c>
      <c r="AS7" s="2">
        <v>1.2774379273119869E-2</v>
      </c>
      <c r="AT7" s="2">
        <v>-2.4871202700302111E-3</v>
      </c>
      <c r="AU7" s="33">
        <f t="shared" si="2"/>
        <v>0.58395191045615091</v>
      </c>
      <c r="AW7" s="32">
        <v>2023</v>
      </c>
      <c r="AX7" t="s">
        <v>76</v>
      </c>
      <c r="AY7" s="2"/>
      <c r="AZ7" s="2">
        <v>-4.1054141269272107E-2</v>
      </c>
      <c r="BA7" s="2">
        <v>-3.7390166386222355E-4</v>
      </c>
      <c r="BB7" s="2">
        <v>-2.3564615672339723E-2</v>
      </c>
      <c r="BC7" s="2">
        <v>-2.7580923194790337E-2</v>
      </c>
      <c r="BD7" s="2" t="s">
        <v>52</v>
      </c>
      <c r="BE7" s="2" t="s">
        <v>52</v>
      </c>
      <c r="BF7" s="2" t="s">
        <v>52</v>
      </c>
      <c r="BG7" s="2" t="s">
        <v>52</v>
      </c>
      <c r="BH7" s="2" t="s">
        <v>52</v>
      </c>
      <c r="BI7" s="2" t="s">
        <v>52</v>
      </c>
      <c r="BJ7" s="2" t="s">
        <v>52</v>
      </c>
      <c r="BK7" s="33">
        <f t="shared" si="3"/>
        <v>-0.23778940254471226</v>
      </c>
    </row>
    <row r="8" spans="1:63" x14ac:dyDescent="0.25">
      <c r="Q8" s="32">
        <v>2021</v>
      </c>
      <c r="R8" t="s">
        <v>78</v>
      </c>
      <c r="S8" s="2"/>
      <c r="T8" s="2">
        <v>7.3463935886021112E-3</v>
      </c>
      <c r="U8" s="2">
        <v>1.9889502762430938E-2</v>
      </c>
      <c r="V8" s="2">
        <v>6.9989165763813727E-2</v>
      </c>
      <c r="W8" s="2">
        <v>1.640340218712022E-2</v>
      </c>
      <c r="X8" s="2">
        <v>-1.4345487148834463E-2</v>
      </c>
      <c r="Y8" s="2">
        <v>-4.4471396806146056E-3</v>
      </c>
      <c r="Z8" s="2">
        <v>-3.7969543147208046E-2</v>
      </c>
      <c r="AA8" s="2">
        <v>-6.7539046010976654E-3</v>
      </c>
      <c r="AB8" s="2">
        <v>-6.3748406289840954E-3</v>
      </c>
      <c r="AC8" s="2">
        <v>5.1325919589391544E-3</v>
      </c>
      <c r="AD8" s="2">
        <v>-1.0212765957446591E-2</v>
      </c>
      <c r="AE8" s="33">
        <f t="shared" si="1"/>
        <v>4.6456420527165268E-2</v>
      </c>
      <c r="AG8" s="32">
        <v>2022</v>
      </c>
      <c r="AH8" t="s">
        <v>78</v>
      </c>
      <c r="AI8" s="2"/>
      <c r="AJ8" s="2">
        <v>2.1673168617269091E-4</v>
      </c>
      <c r="AK8" s="2">
        <v>2.5135427952329408E-2</v>
      </c>
      <c r="AL8" s="2">
        <v>9.5328683153667285E-2</v>
      </c>
      <c r="AM8" s="2">
        <v>-9.0698571979931954E-3</v>
      </c>
      <c r="AN8" s="2">
        <v>-7.594936708860826E-3</v>
      </c>
      <c r="AO8" s="2">
        <v>2.6883830455259008E-2</v>
      </c>
      <c r="AP8" s="2">
        <v>-7.8348939422890358E-3</v>
      </c>
      <c r="AQ8" s="2">
        <v>-4.2180277349769098E-2</v>
      </c>
      <c r="AR8" s="2">
        <v>-1.1260808365171803E-2</v>
      </c>
      <c r="AS8" s="2">
        <v>-1.8913971934106301E-2</v>
      </c>
      <c r="AT8" s="2">
        <v>-1.6998341625207216E-2</v>
      </c>
      <c r="AU8" s="33">
        <f t="shared" si="2"/>
        <v>-1.6959192927064912E-2</v>
      </c>
      <c r="AW8" s="32">
        <v>2023</v>
      </c>
      <c r="AX8" t="s">
        <v>78</v>
      </c>
      <c r="AY8" s="2"/>
      <c r="AZ8" s="2">
        <v>7.0932435276783751E-2</v>
      </c>
      <c r="BA8" s="2">
        <v>0</v>
      </c>
      <c r="BB8" s="2">
        <v>4.0094339622641577E-2</v>
      </c>
      <c r="BC8" s="2">
        <v>-2.3053665910808745E-2</v>
      </c>
      <c r="BD8" s="2" t="s">
        <v>52</v>
      </c>
      <c r="BE8" s="2" t="s">
        <v>52</v>
      </c>
      <c r="BF8" s="2" t="s">
        <v>52</v>
      </c>
      <c r="BG8" s="2" t="s">
        <v>52</v>
      </c>
      <c r="BH8" s="2" t="s">
        <v>52</v>
      </c>
      <c r="BI8" s="2" t="s">
        <v>52</v>
      </c>
      <c r="BJ8" s="2" t="s">
        <v>52</v>
      </c>
      <c r="BK8" s="33">
        <f t="shared" si="3"/>
        <v>0.83023042870836927</v>
      </c>
    </row>
    <row r="9" spans="1:63" x14ac:dyDescent="0.25">
      <c r="Q9" s="32">
        <v>2021</v>
      </c>
      <c r="R9" t="s">
        <v>82</v>
      </c>
      <c r="S9" s="2"/>
      <c r="T9" s="2">
        <v>-0.16796875000000003</v>
      </c>
      <c r="U9" s="2">
        <v>-6.7973055725658094E-2</v>
      </c>
      <c r="V9" s="2">
        <v>-3.4603591765221473E-2</v>
      </c>
      <c r="W9" s="2">
        <v>2.7223230490018152E-2</v>
      </c>
      <c r="X9" s="2">
        <v>5.1899293286219339E-2</v>
      </c>
      <c r="Y9" s="2">
        <v>5.6896913709846716E-2</v>
      </c>
      <c r="Z9" s="2">
        <v>-7.9459674215336274E-3</v>
      </c>
      <c r="AA9" s="2">
        <v>-4.4052863436122554E-3</v>
      </c>
      <c r="AB9" s="2">
        <v>0.14662107803700714</v>
      </c>
      <c r="AC9" s="2">
        <v>7.3846693562532734E-2</v>
      </c>
      <c r="AD9" s="2">
        <v>-5.2433845148644048E-2</v>
      </c>
      <c r="AE9" s="33">
        <f t="shared" si="1"/>
        <v>8.415530515111791E-2</v>
      </c>
      <c r="AG9" s="32">
        <v>2022</v>
      </c>
      <c r="AH9" t="s">
        <v>82</v>
      </c>
      <c r="AI9" s="2"/>
      <c r="AJ9" s="2">
        <v>-2.6438279649972002E-2</v>
      </c>
      <c r="AK9" s="2">
        <v>-2.2566456301395921E-2</v>
      </c>
      <c r="AL9" s="2">
        <v>-1.1739385638819236E-3</v>
      </c>
      <c r="AM9" s="2">
        <v>5.4848188050930516E-2</v>
      </c>
      <c r="AN9" s="2">
        <v>4.1968430826369536E-2</v>
      </c>
      <c r="AO9" s="2">
        <v>-3.3862056674389186E-3</v>
      </c>
      <c r="AP9" s="2">
        <v>2.449928469241772E-2</v>
      </c>
      <c r="AQ9" s="2">
        <v>2.8975388374934533E-2</v>
      </c>
      <c r="AR9" s="2">
        <v>4.0033927056827713E-2</v>
      </c>
      <c r="AS9" s="2">
        <v>-8.6282824987766918E-2</v>
      </c>
      <c r="AT9" s="2">
        <v>-0.1274544805426634</v>
      </c>
      <c r="AU9" s="33">
        <f t="shared" si="2"/>
        <v>0.22808512330007341</v>
      </c>
      <c r="AW9" s="32">
        <v>2023</v>
      </c>
      <c r="AX9" t="s">
        <v>82</v>
      </c>
      <c r="AY9" s="2"/>
      <c r="AZ9" s="2">
        <v>-5.7191273035374218E-3</v>
      </c>
      <c r="BA9" s="2">
        <v>4.2607584149976276E-4</v>
      </c>
      <c r="BB9" s="2">
        <v>1.8100511073253892E-2</v>
      </c>
      <c r="BC9" s="2">
        <v>3.4720769713449055E-2</v>
      </c>
      <c r="BD9" s="2" t="s">
        <v>52</v>
      </c>
      <c r="BE9" s="2" t="s">
        <v>52</v>
      </c>
      <c r="BF9" s="2" t="s">
        <v>52</v>
      </c>
      <c r="BG9" s="2" t="s">
        <v>52</v>
      </c>
      <c r="BH9" s="2" t="s">
        <v>52</v>
      </c>
      <c r="BI9" s="2" t="s">
        <v>52</v>
      </c>
      <c r="BJ9" s="2" t="s">
        <v>52</v>
      </c>
      <c r="BK9" s="33">
        <f t="shared" si="3"/>
        <v>-0.43026106777528061</v>
      </c>
    </row>
    <row r="10" spans="1:63" x14ac:dyDescent="0.25">
      <c r="Q10" s="32">
        <v>2021</v>
      </c>
      <c r="R10" t="s">
        <v>84</v>
      </c>
      <c r="S10" s="2"/>
      <c r="T10" s="2">
        <v>-1.0580912863070469E-2</v>
      </c>
      <c r="U10" s="2">
        <v>6.7100020968756313E-3</v>
      </c>
      <c r="V10" s="2">
        <v>1.1455946677775523E-2</v>
      </c>
      <c r="W10" s="2">
        <v>2.224052718286652E-2</v>
      </c>
      <c r="X10" s="2">
        <v>4.0290088638194428E-3</v>
      </c>
      <c r="Y10" s="2">
        <v>-1.2239165329052958E-2</v>
      </c>
      <c r="Z10" s="2">
        <v>-1.8281535648993477E-3</v>
      </c>
      <c r="AA10" s="2">
        <v>2.2385022385021111E-3</v>
      </c>
      <c r="AB10" s="2">
        <v>6.4974619289339874E-3</v>
      </c>
      <c r="AC10" s="2">
        <v>2.0173492031469502E-4</v>
      </c>
      <c r="AD10" s="2">
        <v>-5.4457442517142638E-3</v>
      </c>
      <c r="AE10" s="33">
        <f t="shared" si="1"/>
        <v>0.14993619397781677</v>
      </c>
      <c r="AG10" s="32">
        <v>2022</v>
      </c>
      <c r="AH10" t="s">
        <v>84</v>
      </c>
      <c r="AI10" s="2"/>
      <c r="AJ10" s="2">
        <v>-1.8303843807200204E-3</v>
      </c>
      <c r="AK10" s="2">
        <v>1.4262428687857487E-3</v>
      </c>
      <c r="AL10" s="2">
        <v>4.6795523906408027E-3</v>
      </c>
      <c r="AM10" s="2">
        <v>0</v>
      </c>
      <c r="AN10" s="2">
        <v>-2.6326447954637738E-3</v>
      </c>
      <c r="AO10" s="2">
        <v>4.0609137055852568E-4</v>
      </c>
      <c r="AP10" s="2">
        <v>1.8063730464785883E-2</v>
      </c>
      <c r="AQ10" s="2">
        <v>1.1363636363636227E-2</v>
      </c>
      <c r="AR10" s="2">
        <v>4.1395623891189656E-3</v>
      </c>
      <c r="AS10" s="2">
        <v>4.5151158225362276E-3</v>
      </c>
      <c r="AT10" s="2">
        <v>1.7588430721126327E-3</v>
      </c>
      <c r="AU10" s="33">
        <f t="shared" si="2"/>
        <v>-0.47824608510418726</v>
      </c>
      <c r="AW10" s="32">
        <v>2023</v>
      </c>
      <c r="AX10" t="s">
        <v>84</v>
      </c>
      <c r="AY10" s="2"/>
      <c r="AZ10" s="2">
        <v>1.5600624024963438E-3</v>
      </c>
      <c r="BA10" s="2">
        <v>3.8940809968828535E-4</v>
      </c>
      <c r="BB10" s="2">
        <v>1.3818606461658445E-2</v>
      </c>
      <c r="BC10" s="2">
        <v>1.2478402764445931E-2</v>
      </c>
      <c r="BD10" s="2" t="s">
        <v>52</v>
      </c>
      <c r="BE10" s="2" t="s">
        <v>52</v>
      </c>
      <c r="BF10" s="2" t="s">
        <v>52</v>
      </c>
      <c r="BG10" s="2" t="s">
        <v>52</v>
      </c>
      <c r="BH10" s="2" t="s">
        <v>52</v>
      </c>
      <c r="BI10" s="2" t="s">
        <v>52</v>
      </c>
      <c r="BJ10" s="2" t="s">
        <v>52</v>
      </c>
      <c r="BK10" s="33">
        <f t="shared" si="3"/>
        <v>5.835522296385523E-2</v>
      </c>
    </row>
    <row r="11" spans="1:63" x14ac:dyDescent="0.25">
      <c r="Q11" s="32">
        <v>2021</v>
      </c>
      <c r="R11" t="s">
        <v>86</v>
      </c>
      <c r="S11" s="2"/>
      <c r="T11" s="2">
        <v>-1.5085581665216015E-2</v>
      </c>
      <c r="U11" s="2">
        <v>-2.6509572901326482E-3</v>
      </c>
      <c r="V11" s="2">
        <v>4.4300059066745426E-3</v>
      </c>
      <c r="W11" s="2">
        <v>1.4407527197883034E-2</v>
      </c>
      <c r="X11" s="2">
        <v>2.318840579710013E-3</v>
      </c>
      <c r="Y11" s="2">
        <v>-4.9161364950837082E-3</v>
      </c>
      <c r="Z11" s="2">
        <v>3.2548677709968041E-2</v>
      </c>
      <c r="AA11" s="2">
        <v>1.1539544047284049E-2</v>
      </c>
      <c r="AB11" s="2">
        <v>1.8363939899832957E-2</v>
      </c>
      <c r="AC11" s="2">
        <v>4.3715846994536525E-3</v>
      </c>
      <c r="AD11" s="2">
        <v>-1.1153427638737818E-2</v>
      </c>
      <c r="AE11" s="33">
        <f t="shared" si="1"/>
        <v>-6.5887796833306672E-2</v>
      </c>
      <c r="AG11" s="32">
        <v>2022</v>
      </c>
      <c r="AH11" t="s">
        <v>86</v>
      </c>
      <c r="AI11" s="2"/>
      <c r="AJ11" s="2">
        <v>-8.3194675540765387E-3</v>
      </c>
      <c r="AK11" s="2">
        <v>-1.1185682326622481E-3</v>
      </c>
      <c r="AL11" s="2">
        <v>1.3997760358343064E-3</v>
      </c>
      <c r="AM11" s="2">
        <v>5.8708414872798674E-3</v>
      </c>
      <c r="AN11" s="2">
        <v>1.6675931072817284E-3</v>
      </c>
      <c r="AO11" s="2">
        <v>8.3240843507221304E-4</v>
      </c>
      <c r="AP11" s="2">
        <v>7.2082062655947398E-3</v>
      </c>
      <c r="AQ11" s="2">
        <v>6.0556014313238645E-3</v>
      </c>
      <c r="AR11" s="2">
        <v>2.4623803009575693E-3</v>
      </c>
      <c r="AS11" s="2">
        <v>1.6375545851528618E-3</v>
      </c>
      <c r="AT11" s="2">
        <v>-2.452316076294371E-3</v>
      </c>
      <c r="AU11" s="33">
        <f t="shared" si="2"/>
        <v>-0.35990032379200454</v>
      </c>
      <c r="AW11" s="32">
        <v>2023</v>
      </c>
      <c r="AX11" t="s">
        <v>86</v>
      </c>
      <c r="AY11" s="2"/>
      <c r="AZ11" s="2">
        <v>-8.5141444658061987E-3</v>
      </c>
      <c r="BA11" s="2">
        <v>0</v>
      </c>
      <c r="BB11" s="2">
        <v>1.0526315789473559E-2</v>
      </c>
      <c r="BC11" s="2">
        <v>1.0964912280701952E-2</v>
      </c>
      <c r="BD11" s="2" t="s">
        <v>52</v>
      </c>
      <c r="BE11" s="2" t="s">
        <v>52</v>
      </c>
      <c r="BF11" s="2" t="s">
        <v>52</v>
      </c>
      <c r="BG11" s="2" t="s">
        <v>52</v>
      </c>
      <c r="BH11" s="2" t="s">
        <v>52</v>
      </c>
      <c r="BI11" s="2" t="s">
        <v>52</v>
      </c>
      <c r="BJ11" s="2" t="s">
        <v>52</v>
      </c>
      <c r="BK11" s="33">
        <f t="shared" si="3"/>
        <v>-0.18007006574100273</v>
      </c>
    </row>
    <row r="12" spans="1:63" x14ac:dyDescent="0.25">
      <c r="Q12" s="32">
        <v>2021</v>
      </c>
      <c r="R12" t="s">
        <v>87</v>
      </c>
      <c r="S12" s="2"/>
      <c r="T12" s="2">
        <v>4.0691759918614164E-4</v>
      </c>
      <c r="U12" s="2">
        <v>-3.2540166768354572E-3</v>
      </c>
      <c r="V12" s="2">
        <v>2.0403999183840611E-3</v>
      </c>
      <c r="W12" s="2">
        <v>2.4434941967012652E-2</v>
      </c>
      <c r="X12" s="2">
        <v>1.7889087656530196E-3</v>
      </c>
      <c r="Y12" s="2">
        <v>-9.9206349206343563E-4</v>
      </c>
      <c r="Z12" s="2">
        <v>2.5819265143992281E-3</v>
      </c>
      <c r="AA12" s="2">
        <v>5.9429477020598838E-4</v>
      </c>
      <c r="AB12" s="2">
        <v>3.1676895664224792E-3</v>
      </c>
      <c r="AC12" s="2">
        <v>1.7761989342805385E-3</v>
      </c>
      <c r="AD12" s="2">
        <v>5.5161544523246878E-3</v>
      </c>
      <c r="AE12" s="33">
        <f t="shared" si="1"/>
        <v>-9.3927145869255602E-3</v>
      </c>
      <c r="AG12" s="32">
        <v>2022</v>
      </c>
      <c r="AH12" t="s">
        <v>87</v>
      </c>
      <c r="AI12" s="2"/>
      <c r="AJ12" s="2">
        <v>1.300465838509309E-2</v>
      </c>
      <c r="AK12" s="2">
        <v>1.7053075301781798E-2</v>
      </c>
      <c r="AL12" s="2">
        <v>2.1477015825169782E-2</v>
      </c>
      <c r="AM12" s="2">
        <v>1.9734415344891003E-2</v>
      </c>
      <c r="AN12" s="2">
        <v>1.1937059142702209E-2</v>
      </c>
      <c r="AO12" s="2">
        <v>1.5370866845397717E-2</v>
      </c>
      <c r="AP12" s="2">
        <v>1.9010737546206621E-2</v>
      </c>
      <c r="AQ12" s="2">
        <v>1.9174296078770022E-2</v>
      </c>
      <c r="AR12" s="2">
        <v>1.3389830508474539E-2</v>
      </c>
      <c r="AS12" s="2">
        <v>1.4216424151196044E-2</v>
      </c>
      <c r="AT12" s="2">
        <v>1.1213720316622615E-2</v>
      </c>
      <c r="AU12" s="33">
        <f t="shared" si="2"/>
        <v>-0.12278996739103841</v>
      </c>
      <c r="AW12" s="32">
        <v>2023</v>
      </c>
      <c r="AX12" t="s">
        <v>87</v>
      </c>
      <c r="AY12" s="2"/>
      <c r="AZ12" s="2">
        <v>5.4557124518613241E-3</v>
      </c>
      <c r="BA12" s="2">
        <v>0</v>
      </c>
      <c r="BB12" s="2">
        <v>1.5320778806256066E-2</v>
      </c>
      <c r="BC12" s="2">
        <v>2.310594152782133E-2</v>
      </c>
      <c r="BD12" s="2" t="s">
        <v>52</v>
      </c>
      <c r="BE12" s="2" t="s">
        <v>52</v>
      </c>
      <c r="BF12" s="2" t="s">
        <v>52</v>
      </c>
      <c r="BG12" s="2" t="s">
        <v>52</v>
      </c>
      <c r="BH12" s="2" t="s">
        <v>52</v>
      </c>
      <c r="BI12" s="2" t="s">
        <v>52</v>
      </c>
      <c r="BJ12" s="2" t="s">
        <v>52</v>
      </c>
      <c r="BK12" s="33">
        <f t="shared" si="3"/>
        <v>-0.25129518594936001</v>
      </c>
    </row>
    <row r="13" spans="1:63" x14ac:dyDescent="0.25">
      <c r="Q13" s="32">
        <v>2021</v>
      </c>
      <c r="R13" t="s">
        <v>88</v>
      </c>
      <c r="S13" s="2"/>
      <c r="T13" s="2">
        <v>2.4019391802556141E-2</v>
      </c>
      <c r="U13" s="2">
        <v>6.6709705186139634E-3</v>
      </c>
      <c r="V13" s="2">
        <v>6.8405301410860934E-3</v>
      </c>
      <c r="W13" s="2">
        <v>1.0403397027600802E-2</v>
      </c>
      <c r="X13" s="2">
        <v>3.9924353855853387E-3</v>
      </c>
      <c r="Y13" s="2">
        <v>5.6508999581413389E-3</v>
      </c>
      <c r="Z13" s="2">
        <v>9.5733610822062009E-3</v>
      </c>
      <c r="AA13" s="2">
        <v>1.4430014430013608E-3</v>
      </c>
      <c r="AB13" s="2">
        <v>3.2935364347467977E-3</v>
      </c>
      <c r="AC13" s="2">
        <v>3.0775543701272055E-3</v>
      </c>
      <c r="AD13" s="2">
        <v>3.0681120883616279E-3</v>
      </c>
      <c r="AE13" s="33">
        <f t="shared" si="1"/>
        <v>0.34346121919785932</v>
      </c>
      <c r="AG13" s="32">
        <v>2022</v>
      </c>
      <c r="AH13" t="s">
        <v>88</v>
      </c>
      <c r="AI13" s="2"/>
      <c r="AJ13" s="2">
        <v>2.4454860403505547E-3</v>
      </c>
      <c r="AK13" s="2">
        <v>3.4559869892254293E-3</v>
      </c>
      <c r="AL13" s="2">
        <v>5.0648298217180476E-3</v>
      </c>
      <c r="AM13" s="2">
        <v>5.4424511187260976E-3</v>
      </c>
      <c r="AN13" s="2">
        <v>4.8115477145147323E-3</v>
      </c>
      <c r="AO13" s="2">
        <v>2.9928172386274646E-3</v>
      </c>
      <c r="AP13" s="2">
        <v>2.7849612094687096E-3</v>
      </c>
      <c r="AQ13" s="2">
        <v>3.5707200952191688E-3</v>
      </c>
      <c r="AR13" s="2">
        <v>2.767345325163087E-3</v>
      </c>
      <c r="AS13" s="2">
        <v>3.1539522964715047E-3</v>
      </c>
      <c r="AT13" s="2">
        <v>3.3405384161919317E-3</v>
      </c>
      <c r="AU13" s="33">
        <f t="shared" si="2"/>
        <v>6.1762486739314088E-2</v>
      </c>
      <c r="AW13" s="32">
        <v>2023</v>
      </c>
      <c r="AX13" t="s">
        <v>88</v>
      </c>
      <c r="AY13" s="2"/>
      <c r="AZ13" s="2">
        <v>5.4687500000001887E-3</v>
      </c>
      <c r="BA13" s="2">
        <v>0</v>
      </c>
      <c r="BB13" s="2">
        <v>3.4965034965031318E-3</v>
      </c>
      <c r="BC13" s="2">
        <v>2.7100271002711792E-3</v>
      </c>
      <c r="BD13" s="2" t="s">
        <v>52</v>
      </c>
      <c r="BE13" s="2" t="s">
        <v>52</v>
      </c>
      <c r="BF13" s="2" t="s">
        <v>52</v>
      </c>
      <c r="BG13" s="2" t="s">
        <v>52</v>
      </c>
      <c r="BH13" s="2" t="s">
        <v>52</v>
      </c>
      <c r="BI13" s="2" t="s">
        <v>52</v>
      </c>
      <c r="BJ13" s="2" t="s">
        <v>52</v>
      </c>
      <c r="BK13" s="33">
        <f t="shared" si="3"/>
        <v>0.46596599151682649</v>
      </c>
    </row>
    <row r="14" spans="1:63" x14ac:dyDescent="0.25">
      <c r="Q14" s="32">
        <v>2021</v>
      </c>
      <c r="R14" t="s">
        <v>89</v>
      </c>
      <c r="S14" s="2"/>
      <c r="T14" s="2">
        <v>1.1265338966002863E-2</v>
      </c>
      <c r="U14" s="2">
        <v>4.3763676148795708E-3</v>
      </c>
      <c r="V14" s="2">
        <v>4.3572984749456244E-3</v>
      </c>
      <c r="W14" s="2">
        <v>8.2823900611319612E-3</v>
      </c>
      <c r="X14" s="2">
        <v>1.1930373557598434E-2</v>
      </c>
      <c r="Y14" s="2">
        <v>-1.3529184383456617E-3</v>
      </c>
      <c r="Z14" s="2">
        <v>8.1285078382038536E-3</v>
      </c>
      <c r="AA14" s="2">
        <v>1.7277788443078304E-3</v>
      </c>
      <c r="AB14" s="2">
        <v>4.5994633959373704E-3</v>
      </c>
      <c r="AC14" s="2">
        <v>4.5784051888591156E-3</v>
      </c>
      <c r="AD14" s="2">
        <v>6.0767185719711138E-3</v>
      </c>
      <c r="AE14" s="33">
        <f t="shared" si="1"/>
        <v>0.21234773786960795</v>
      </c>
      <c r="AG14" s="32">
        <v>2022</v>
      </c>
      <c r="AH14" t="s">
        <v>89</v>
      </c>
      <c r="AI14" s="2"/>
      <c r="AJ14" s="2">
        <v>4.1345611727118215E-3</v>
      </c>
      <c r="AK14" s="2">
        <v>7.2992700729927647E-3</v>
      </c>
      <c r="AL14" s="2">
        <v>9.1044221479003665E-3</v>
      </c>
      <c r="AM14" s="2">
        <v>8.654023200147281E-3</v>
      </c>
      <c r="AN14" s="2">
        <v>7.849580138736786E-3</v>
      </c>
      <c r="AO14" s="2">
        <v>7.0639376924470825E-3</v>
      </c>
      <c r="AP14" s="2">
        <v>5.7553956834532167E-3</v>
      </c>
      <c r="AQ14" s="2">
        <v>6.0801144492131209E-3</v>
      </c>
      <c r="AR14" s="2">
        <v>4.9768929968005892E-3</v>
      </c>
      <c r="AS14" s="2">
        <v>6.0134418111071402E-3</v>
      </c>
      <c r="AT14" s="2">
        <v>4.3952180028128396E-3</v>
      </c>
      <c r="AU14" s="33">
        <f t="shared" si="2"/>
        <v>9.190352156309059E-2</v>
      </c>
      <c r="AW14" s="32">
        <v>2023</v>
      </c>
      <c r="AX14" t="s">
        <v>89</v>
      </c>
      <c r="AY14" s="2"/>
      <c r="AZ14" s="2">
        <v>9.5818815331009458E-3</v>
      </c>
      <c r="BA14" s="2">
        <v>0</v>
      </c>
      <c r="BB14" s="2">
        <v>2.5884383088869718E-3</v>
      </c>
      <c r="BC14" s="2">
        <v>3.4423407917384802E-3</v>
      </c>
      <c r="BD14" s="2" t="s">
        <v>52</v>
      </c>
      <c r="BE14" s="2" t="s">
        <v>52</v>
      </c>
      <c r="BF14" s="2" t="s">
        <v>52</v>
      </c>
      <c r="BG14" s="2" t="s">
        <v>52</v>
      </c>
      <c r="BH14" s="2" t="s">
        <v>52</v>
      </c>
      <c r="BI14" s="2" t="s">
        <v>52</v>
      </c>
      <c r="BJ14" s="2" t="s">
        <v>52</v>
      </c>
      <c r="BK14" s="33">
        <f t="shared" si="3"/>
        <v>0.25785830757110917</v>
      </c>
    </row>
    <row r="15" spans="1:63" x14ac:dyDescent="0.25">
      <c r="Q15" s="32">
        <v>2021</v>
      </c>
      <c r="R15" t="s">
        <v>90</v>
      </c>
      <c r="S15" s="2"/>
      <c r="T15" s="2">
        <v>-2.3966942148760377E-2</v>
      </c>
      <c r="U15" s="2">
        <v>-1.6934801016087098E-3</v>
      </c>
      <c r="V15" s="2">
        <v>8.4817642069549247E-3</v>
      </c>
      <c r="W15" s="2">
        <v>1.6820857863750992E-2</v>
      </c>
      <c r="X15" s="2">
        <v>1.1786600496277952E-2</v>
      </c>
      <c r="Y15" s="2">
        <v>8.7880645820560214E-3</v>
      </c>
      <c r="Z15" s="2">
        <v>-1.0129659643435406E-3</v>
      </c>
      <c r="AA15" s="2">
        <v>6.0839586290809759E-4</v>
      </c>
      <c r="AB15" s="2">
        <v>2.2902310498581182E-2</v>
      </c>
      <c r="AC15" s="2">
        <v>1.1888250445809392E-2</v>
      </c>
      <c r="AD15" s="2">
        <v>-8.8114352849030745E-3</v>
      </c>
      <c r="AE15" s="33">
        <f t="shared" si="1"/>
        <v>0.12341563177469027</v>
      </c>
      <c r="AG15" s="32">
        <v>2022</v>
      </c>
      <c r="AH15" t="s">
        <v>90</v>
      </c>
      <c r="AI15" s="2"/>
      <c r="AJ15" s="2">
        <v>-9.9840255591082672E-4</v>
      </c>
      <c r="AK15" s="2">
        <v>1.2392564461323355E-2</v>
      </c>
      <c r="AL15" s="2">
        <v>1.4610069101678025E-2</v>
      </c>
      <c r="AM15" s="2">
        <v>1.4983459817085182E-2</v>
      </c>
      <c r="AN15" s="2">
        <v>9.5858895705520919E-3</v>
      </c>
      <c r="AO15" s="2">
        <v>5.6969236612226164E-4</v>
      </c>
      <c r="AP15" s="2">
        <v>7.0222053520593011E-3</v>
      </c>
      <c r="AQ15" s="2">
        <v>8.4809649453448915E-3</v>
      </c>
      <c r="AR15" s="2">
        <v>9.7178097551858713E-3</v>
      </c>
      <c r="AS15" s="2">
        <v>-7.5883768276882061E-3</v>
      </c>
      <c r="AT15" s="2">
        <v>-1.3614323013801E-2</v>
      </c>
      <c r="AU15" s="33">
        <f t="shared" si="2"/>
        <v>0.37725669716389493</v>
      </c>
      <c r="AW15" s="32">
        <v>2023</v>
      </c>
      <c r="AX15" t="s">
        <v>90</v>
      </c>
      <c r="AY15" s="2"/>
      <c r="AZ15" s="2">
        <v>2.4472891566263665E-3</v>
      </c>
      <c r="BA15" s="2">
        <v>1.8779342723003627E-4</v>
      </c>
      <c r="BB15" s="2">
        <v>5.4449868569282868E-3</v>
      </c>
      <c r="BC15" s="2">
        <v>6.5359477124182479E-3</v>
      </c>
      <c r="BD15" s="2" t="s">
        <v>52</v>
      </c>
      <c r="BE15" s="2" t="s">
        <v>52</v>
      </c>
      <c r="BF15" s="2" t="s">
        <v>52</v>
      </c>
      <c r="BG15" s="2" t="s">
        <v>52</v>
      </c>
      <c r="BH15" s="2" t="s">
        <v>52</v>
      </c>
      <c r="BI15" s="2" t="s">
        <v>52</v>
      </c>
      <c r="BJ15" s="2" t="s">
        <v>52</v>
      </c>
      <c r="BK15" s="33">
        <f t="shared" si="3"/>
        <v>-7.103061532455153E-2</v>
      </c>
    </row>
    <row r="16" spans="1:63" x14ac:dyDescent="0.25">
      <c r="Q16" s="32">
        <v>2021</v>
      </c>
      <c r="R16" t="s">
        <v>91</v>
      </c>
      <c r="S16" s="2"/>
      <c r="T16" s="2">
        <v>9.2378752886836842E-3</v>
      </c>
      <c r="U16" s="2">
        <v>-7.0410139060020642E-4</v>
      </c>
      <c r="V16" s="2">
        <v>4.0514356174034781E-3</v>
      </c>
      <c r="W16" s="2">
        <v>1.7017543859649202E-2</v>
      </c>
      <c r="X16" s="2">
        <v>-7.2451267897188486E-3</v>
      </c>
      <c r="Y16" s="2">
        <v>1.5638575152040813E-3</v>
      </c>
      <c r="Z16" s="2">
        <v>4.1637751561414797E-3</v>
      </c>
      <c r="AA16" s="2">
        <v>5.1831375259168673E-4</v>
      </c>
      <c r="AB16" s="2">
        <v>3.1082714557071024E-3</v>
      </c>
      <c r="AC16" s="2">
        <v>6.8858667584778327E-4</v>
      </c>
      <c r="AD16" s="2">
        <v>-2.2363667641491936E-3</v>
      </c>
      <c r="AE16" s="33">
        <f t="shared" si="1"/>
        <v>0.21456497429160873</v>
      </c>
      <c r="AG16" s="32">
        <v>2022</v>
      </c>
      <c r="AH16" t="s">
        <v>91</v>
      </c>
      <c r="AI16" s="2"/>
      <c r="AJ16" s="2">
        <v>2.5893319523562922E-3</v>
      </c>
      <c r="AK16" s="2">
        <v>4.648760330578542E-3</v>
      </c>
      <c r="AL16" s="2">
        <v>5.1413881748069059E-4</v>
      </c>
      <c r="AM16" s="2">
        <v>1.1990407673861691E-3</v>
      </c>
      <c r="AN16" s="2">
        <v>1.7108639863129909E-3</v>
      </c>
      <c r="AO16" s="2">
        <v>1.5371477369770011E-3</v>
      </c>
      <c r="AP16" s="2">
        <v>1.7053206002727544E-3</v>
      </c>
      <c r="AQ16" s="2">
        <v>4.5965270684373552E-3</v>
      </c>
      <c r="AR16" s="2">
        <v>2.0335536349770067E-3</v>
      </c>
      <c r="AS16" s="2">
        <v>2.8750211398613033E-3</v>
      </c>
      <c r="AT16" s="2">
        <v>2.192242833052296E-3</v>
      </c>
      <c r="AU16" s="33">
        <f t="shared" si="2"/>
        <v>0.37909591572541274</v>
      </c>
      <c r="AW16" s="32">
        <v>2023</v>
      </c>
      <c r="AX16" t="s">
        <v>91</v>
      </c>
      <c r="AY16" s="2"/>
      <c r="AZ16" s="2">
        <v>6.3683593095358471E-3</v>
      </c>
      <c r="BA16" s="2">
        <v>1.6652789342228074E-4</v>
      </c>
      <c r="BB16" s="2">
        <v>4.995004995004995E-3</v>
      </c>
      <c r="BC16" s="2">
        <v>2.4850894632206756E-3</v>
      </c>
      <c r="BD16" s="2" t="s">
        <v>52</v>
      </c>
      <c r="BE16" s="2" t="s">
        <v>52</v>
      </c>
      <c r="BF16" s="2" t="s">
        <v>52</v>
      </c>
      <c r="BG16" s="2" t="s">
        <v>52</v>
      </c>
      <c r="BH16" s="2" t="s">
        <v>52</v>
      </c>
      <c r="BI16" s="2" t="s">
        <v>52</v>
      </c>
      <c r="BJ16" s="2" t="s">
        <v>52</v>
      </c>
      <c r="BK16" s="33">
        <f t="shared" si="3"/>
        <v>0.6617208341113282</v>
      </c>
    </row>
    <row r="17" spans="17:63" x14ac:dyDescent="0.25">
      <c r="Q17" s="32">
        <v>2021</v>
      </c>
      <c r="R17" t="s">
        <v>92</v>
      </c>
      <c r="S17" s="2"/>
      <c r="T17" s="2">
        <v>1.0741138560687556E-2</v>
      </c>
      <c r="U17" s="2">
        <v>4.2507970244420219E-3</v>
      </c>
      <c r="V17" s="2">
        <v>6.13756613756615E-3</v>
      </c>
      <c r="W17" s="2">
        <v>1.7248632730332447E-2</v>
      </c>
      <c r="X17" s="2">
        <v>2.4813895781636303E-3</v>
      </c>
      <c r="Y17" s="2">
        <v>3.9191419141915481E-3</v>
      </c>
      <c r="Z17" s="2">
        <v>9.4514074378467105E-3</v>
      </c>
      <c r="AA17" s="2">
        <v>1.6283329940972003E-3</v>
      </c>
      <c r="AB17" s="2">
        <v>6.7059540743750921E-3</v>
      </c>
      <c r="AC17" s="2">
        <v>9.0835688332660484E-3</v>
      </c>
      <c r="AD17" s="2">
        <v>7.4014802960593032E-3</v>
      </c>
      <c r="AE17" s="33">
        <f t="shared" si="1"/>
        <v>-2.7697866091798973E-2</v>
      </c>
      <c r="AG17" s="32">
        <v>2022</v>
      </c>
      <c r="AH17" t="s">
        <v>92</v>
      </c>
      <c r="AI17" s="2"/>
      <c r="AJ17" s="2">
        <v>5.513981882630979E-3</v>
      </c>
      <c r="AK17" s="2">
        <v>7.8339208773990261E-3</v>
      </c>
      <c r="AL17" s="2">
        <v>1.010493587252227E-2</v>
      </c>
      <c r="AM17" s="2">
        <v>9.8114659484419709E-3</v>
      </c>
      <c r="AN17" s="2">
        <v>8.5730615355304133E-3</v>
      </c>
      <c r="AO17" s="2">
        <v>6.8001511144691459E-3</v>
      </c>
      <c r="AP17" s="2">
        <v>6.3789868667917023E-3</v>
      </c>
      <c r="AQ17" s="2">
        <v>7.8299776286352204E-3</v>
      </c>
      <c r="AR17" s="2">
        <v>5.3644099149095298E-3</v>
      </c>
      <c r="AS17" s="2">
        <v>6.439742410303693E-3</v>
      </c>
      <c r="AT17" s="2">
        <v>5.1188299817183291E-3</v>
      </c>
      <c r="AU17" s="33">
        <f t="shared" si="2"/>
        <v>0.1322965687147041</v>
      </c>
      <c r="AW17" s="32">
        <v>2023</v>
      </c>
      <c r="AX17" t="s">
        <v>92</v>
      </c>
      <c r="AY17" s="2"/>
      <c r="AZ17" s="2">
        <v>7.0575461454939351E-3</v>
      </c>
      <c r="BA17" s="2">
        <v>-3.5938903863445447E-4</v>
      </c>
      <c r="BB17" s="2">
        <v>4.1344598238359787E-3</v>
      </c>
      <c r="BC17" s="2">
        <v>2.1482277121376704E-3</v>
      </c>
      <c r="BD17" s="2" t="s">
        <v>52</v>
      </c>
      <c r="BE17" s="2" t="s">
        <v>52</v>
      </c>
      <c r="BF17" s="2" t="s">
        <v>52</v>
      </c>
      <c r="BG17" s="2" t="s">
        <v>52</v>
      </c>
      <c r="BH17" s="2" t="s">
        <v>52</v>
      </c>
      <c r="BI17" s="2" t="s">
        <v>52</v>
      </c>
      <c r="BJ17" s="2" t="s">
        <v>52</v>
      </c>
      <c r="BK17" s="33">
        <f t="shared" si="3"/>
        <v>0.57372882428203875</v>
      </c>
    </row>
    <row r="18" spans="17:63" x14ac:dyDescent="0.25">
      <c r="Q18" s="32">
        <v>2021</v>
      </c>
      <c r="R18" t="s">
        <v>93</v>
      </c>
      <c r="S18" s="2"/>
      <c r="T18" s="2">
        <v>8.4901330885728456E-3</v>
      </c>
      <c r="U18" s="2">
        <v>3.4129692832764505E-3</v>
      </c>
      <c r="V18" s="2">
        <v>4.3083900226756856E-3</v>
      </c>
      <c r="W18" s="2">
        <v>2.2578460149017904E-2</v>
      </c>
      <c r="X18" s="2">
        <v>-1.545595054095739E-3</v>
      </c>
      <c r="Y18" s="2">
        <v>8.6245024325518546E-3</v>
      </c>
      <c r="Z18" s="2">
        <v>1.1839508879631734E-2</v>
      </c>
      <c r="AA18" s="2">
        <v>2.1668472372696492E-3</v>
      </c>
      <c r="AB18" s="2">
        <v>6.4864864864866709E-3</v>
      </c>
      <c r="AC18" s="2">
        <v>6.874328678839932E-3</v>
      </c>
      <c r="AD18" s="2">
        <v>8.5342436526561604E-3</v>
      </c>
      <c r="AE18" s="33">
        <f t="shared" si="1"/>
        <v>-0.12410590195695681</v>
      </c>
      <c r="AG18" s="32">
        <v>2022</v>
      </c>
      <c r="AH18" t="s">
        <v>93</v>
      </c>
      <c r="AI18" s="2"/>
      <c r="AJ18" s="2">
        <v>1.1076280041797367E-2</v>
      </c>
      <c r="AK18" s="2">
        <v>1.3642000826787857E-2</v>
      </c>
      <c r="AL18" s="2">
        <v>1.1623164763458435E-2</v>
      </c>
      <c r="AM18" s="2">
        <v>1.0884902237452023E-2</v>
      </c>
      <c r="AN18" s="2">
        <v>8.9730807577268201E-3</v>
      </c>
      <c r="AO18" s="2">
        <v>8.4980237154150436E-3</v>
      </c>
      <c r="AP18" s="2">
        <v>8.0344895159710425E-3</v>
      </c>
      <c r="AQ18" s="2">
        <v>9.5256609642301263E-3</v>
      </c>
      <c r="AR18" s="2">
        <v>5.7770075101097633E-3</v>
      </c>
      <c r="AS18" s="2">
        <v>4.9779820026804953E-3</v>
      </c>
      <c r="AT18" s="2">
        <v>4.762811964183546E-3</v>
      </c>
      <c r="AU18" s="33">
        <f t="shared" si="2"/>
        <v>0.60356754495102993</v>
      </c>
      <c r="AW18" s="32">
        <v>2023</v>
      </c>
      <c r="AX18" t="s">
        <v>93</v>
      </c>
      <c r="AY18" s="2"/>
      <c r="AZ18" s="2">
        <v>6.6137566137567209E-3</v>
      </c>
      <c r="BA18" s="2">
        <v>0</v>
      </c>
      <c r="BB18" s="2">
        <v>2.8158438145297537E-3</v>
      </c>
      <c r="BC18" s="2">
        <v>2.8079371022085909E-3</v>
      </c>
      <c r="BD18" s="2" t="s">
        <v>52</v>
      </c>
      <c r="BE18" s="2" t="s">
        <v>52</v>
      </c>
      <c r="BF18" s="2" t="s">
        <v>52</v>
      </c>
      <c r="BG18" s="2" t="s">
        <v>52</v>
      </c>
      <c r="BH18" s="2" t="s">
        <v>52</v>
      </c>
      <c r="BI18" s="2" t="s">
        <v>52</v>
      </c>
      <c r="BJ18" s="2" t="s">
        <v>52</v>
      </c>
      <c r="BK18" s="33">
        <f t="shared" si="3"/>
        <v>0.34456488179763206</v>
      </c>
    </row>
    <row r="19" spans="17:63" x14ac:dyDescent="0.25">
      <c r="Q19" s="32">
        <v>2021</v>
      </c>
      <c r="R19" t="s">
        <v>94</v>
      </c>
      <c r="S19" s="2"/>
      <c r="T19" s="2">
        <v>1.0407632263660167E-2</v>
      </c>
      <c r="U19" s="2">
        <v>4.0772532188840709E-3</v>
      </c>
      <c r="V19" s="2">
        <v>5.7704637743107865E-3</v>
      </c>
      <c r="W19" s="2">
        <v>1.7849553761155861E-2</v>
      </c>
      <c r="X19" s="2">
        <v>2.2964509394572501E-3</v>
      </c>
      <c r="Y19" s="2">
        <v>4.3740887315141972E-3</v>
      </c>
      <c r="Z19" s="2">
        <v>9.5396101202822065E-3</v>
      </c>
      <c r="AA19" s="2">
        <v>2.0542317173377739E-3</v>
      </c>
      <c r="AB19" s="2">
        <v>6.355063550635494E-3</v>
      </c>
      <c r="AC19" s="2">
        <v>8.9631289468321863E-3</v>
      </c>
      <c r="AD19" s="2">
        <v>7.2683222289520819E-3</v>
      </c>
      <c r="AE19" s="33">
        <f t="shared" si="1"/>
        <v>-3.4471512406400284E-2</v>
      </c>
      <c r="AG19" s="32">
        <v>2022</v>
      </c>
      <c r="AH19" t="s">
        <v>94</v>
      </c>
      <c r="AI19" s="2"/>
      <c r="AJ19" s="2">
        <v>6.5554231227653329E-3</v>
      </c>
      <c r="AK19" s="2">
        <v>8.6836392342609144E-3</v>
      </c>
      <c r="AL19" s="2">
        <v>9.9784777929955992E-3</v>
      </c>
      <c r="AM19" s="2">
        <v>1.0073614877954037E-2</v>
      </c>
      <c r="AN19" s="2">
        <v>8.4388185654008553E-3</v>
      </c>
      <c r="AO19" s="2">
        <v>7.2270825408899866E-3</v>
      </c>
      <c r="AP19" s="2">
        <v>6.6087613293054053E-3</v>
      </c>
      <c r="AQ19" s="2">
        <v>8.0660288876382019E-3</v>
      </c>
      <c r="AR19" s="2">
        <v>5.7685150725716311E-3</v>
      </c>
      <c r="AS19" s="2">
        <v>5.9204440333024766E-3</v>
      </c>
      <c r="AT19" s="2">
        <v>5.1498988412727823E-3</v>
      </c>
      <c r="AU19" s="33">
        <f t="shared" si="2"/>
        <v>0.29428350327200747</v>
      </c>
      <c r="AW19" s="32">
        <v>2023</v>
      </c>
      <c r="AX19" t="s">
        <v>94</v>
      </c>
      <c r="AY19" s="2"/>
      <c r="AZ19" s="2">
        <v>7.1038251366119286E-3</v>
      </c>
      <c r="BA19" s="2">
        <v>0</v>
      </c>
      <c r="BB19" s="2">
        <v>3.4364261168384471E-3</v>
      </c>
      <c r="BC19" s="2">
        <v>2.7036770007209808E-3</v>
      </c>
      <c r="BD19" s="2" t="s">
        <v>52</v>
      </c>
      <c r="BE19" s="2" t="s">
        <v>52</v>
      </c>
      <c r="BF19" s="2" t="s">
        <v>52</v>
      </c>
      <c r="BG19" s="2" t="s">
        <v>52</v>
      </c>
      <c r="BH19" s="2" t="s">
        <v>52</v>
      </c>
      <c r="BI19" s="2" t="s">
        <v>52</v>
      </c>
      <c r="BJ19" s="2" t="s">
        <v>52</v>
      </c>
      <c r="BK19" s="33">
        <f t="shared" si="3"/>
        <v>0.43754813209672233</v>
      </c>
    </row>
    <row r="20" spans="17:63" x14ac:dyDescent="0.25">
      <c r="Q20" s="32">
        <v>2021</v>
      </c>
      <c r="R20" t="s">
        <v>95</v>
      </c>
      <c r="S20" s="2"/>
      <c r="T20" s="2">
        <v>1.331642358909336E-2</v>
      </c>
      <c r="U20" s="2">
        <v>6.2578222778469526E-4</v>
      </c>
      <c r="V20" s="2">
        <v>9.3808630393996239E-3</v>
      </c>
      <c r="W20" s="2">
        <v>1.2391573729862988E-3</v>
      </c>
      <c r="X20" s="2">
        <v>-6.8069306930692722E-3</v>
      </c>
      <c r="Y20" s="2">
        <v>6.2305295950155761E-3</v>
      </c>
      <c r="Z20" s="2">
        <v>3.7151702786377356E-3</v>
      </c>
      <c r="AA20" s="2">
        <v>0</v>
      </c>
      <c r="AB20" s="2">
        <v>9.2535471930906849E-3</v>
      </c>
      <c r="AC20" s="2">
        <v>3.6674816625916523E-3</v>
      </c>
      <c r="AD20" s="2">
        <v>-4.8721071863579964E-3</v>
      </c>
      <c r="AE20" s="33">
        <f t="shared" si="1"/>
        <v>0.33566304848623774</v>
      </c>
      <c r="AG20" s="32">
        <v>2022</v>
      </c>
      <c r="AH20" t="s">
        <v>95</v>
      </c>
      <c r="AI20" s="2"/>
      <c r="AJ20" s="2">
        <v>6.0790273556231003E-3</v>
      </c>
      <c r="AK20" s="2">
        <v>-1.2084592145014418E-3</v>
      </c>
      <c r="AL20" s="2">
        <v>1.0284331518451231E-2</v>
      </c>
      <c r="AM20" s="2">
        <v>2.9940119760479044E-3</v>
      </c>
      <c r="AN20" s="2">
        <v>-4.1791044776118723E-3</v>
      </c>
      <c r="AO20" s="2">
        <v>5.9952038369304557E-3</v>
      </c>
      <c r="AP20" s="2">
        <v>7.1513706793801465E-3</v>
      </c>
      <c r="AQ20" s="2">
        <v>2.9585798816568047E-3</v>
      </c>
      <c r="AR20" s="2">
        <v>1.0029498525073679E-2</v>
      </c>
      <c r="AS20" s="2">
        <v>3.5046728971963948E-3</v>
      </c>
      <c r="AT20" s="2">
        <v>-6.4027939464494921E-3</v>
      </c>
      <c r="AU20" s="33">
        <f t="shared" si="2"/>
        <v>-0.1972348334494807</v>
      </c>
      <c r="AW20" s="32">
        <v>2023</v>
      </c>
      <c r="AX20" t="s">
        <v>95</v>
      </c>
      <c r="AY20" s="2"/>
      <c r="AZ20" s="2">
        <v>8.1348053457292614E-3</v>
      </c>
      <c r="BA20" s="2">
        <v>0</v>
      </c>
      <c r="BB20" s="2">
        <v>9.7982708933716921E-3</v>
      </c>
      <c r="BC20" s="2">
        <v>2.2831050228310826E-3</v>
      </c>
      <c r="BD20" s="2" t="s">
        <v>52</v>
      </c>
      <c r="BE20" s="2" t="s">
        <v>52</v>
      </c>
      <c r="BF20" s="2" t="s">
        <v>52</v>
      </c>
      <c r="BG20" s="2" t="s">
        <v>52</v>
      </c>
      <c r="BH20" s="2" t="s">
        <v>52</v>
      </c>
      <c r="BI20" s="2" t="s">
        <v>52</v>
      </c>
      <c r="BJ20" s="2" t="s">
        <v>52</v>
      </c>
      <c r="BK20" s="33">
        <f t="shared" si="3"/>
        <v>0.85193579932615648</v>
      </c>
    </row>
    <row r="21" spans="17:63" x14ac:dyDescent="0.25">
      <c r="Q21" s="32">
        <v>2021</v>
      </c>
      <c r="R21" t="s">
        <v>96</v>
      </c>
      <c r="S21" s="2"/>
      <c r="T21" s="2">
        <v>3.2148517093049486E-2</v>
      </c>
      <c r="U21" s="2">
        <v>2.2812020179864018E-2</v>
      </c>
      <c r="V21" s="2">
        <v>4.2890842805058682E-4</v>
      </c>
      <c r="W21" s="2">
        <v>2.1650589496248526E-2</v>
      </c>
      <c r="X21" s="2">
        <v>2.9374737725557936E-3</v>
      </c>
      <c r="Y21" s="2">
        <v>6.0669456066943942E-3</v>
      </c>
      <c r="Z21" s="2">
        <v>1.1436889166146868E-2</v>
      </c>
      <c r="AA21" s="2">
        <v>1.4391447368420234E-3</v>
      </c>
      <c r="AB21" s="2">
        <v>9.854239375898315E-3</v>
      </c>
      <c r="AC21" s="2">
        <v>-2.2362268753812211E-3</v>
      </c>
      <c r="AD21" s="2">
        <v>1.222493887530493E-3</v>
      </c>
      <c r="AE21" s="33">
        <f t="shared" si="1"/>
        <v>0.54690342220656152</v>
      </c>
      <c r="AG21" s="32">
        <v>2022</v>
      </c>
      <c r="AH21" t="s">
        <v>96</v>
      </c>
      <c r="AI21" s="2"/>
      <c r="AJ21" s="2">
        <v>9.1537835638732419E-3</v>
      </c>
      <c r="AK21" s="2">
        <v>9.0707518645434387E-3</v>
      </c>
      <c r="AL21" s="2">
        <v>3.0763084298841344E-2</v>
      </c>
      <c r="AM21" s="2">
        <v>1.4341085271318006E-2</v>
      </c>
      <c r="AN21" s="2">
        <v>8.024455483377619E-3</v>
      </c>
      <c r="AO21" s="2">
        <v>2.103866565580011E-2</v>
      </c>
      <c r="AP21" s="2">
        <v>-4.4551698533507218E-3</v>
      </c>
      <c r="AQ21" s="2">
        <v>3.915718814096524E-3</v>
      </c>
      <c r="AR21" s="2">
        <v>5.3863298662702834E-3</v>
      </c>
      <c r="AS21" s="2">
        <v>4.0642896730095062E-3</v>
      </c>
      <c r="AT21" s="2">
        <v>3.4958601655936485E-3</v>
      </c>
      <c r="AU21" s="33">
        <f t="shared" si="2"/>
        <v>-5.3359383561114269E-2</v>
      </c>
      <c r="AW21" s="32">
        <v>2023</v>
      </c>
      <c r="AX21" t="s">
        <v>96</v>
      </c>
      <c r="AY21" s="2"/>
      <c r="AZ21" s="2">
        <v>2.2006235099945298E-3</v>
      </c>
      <c r="BA21" s="2">
        <v>-1.0978956999084463E-3</v>
      </c>
      <c r="BB21" s="2">
        <v>-1.0991023997069997E-3</v>
      </c>
      <c r="BC21" s="2">
        <v>6.2350999449845273E-3</v>
      </c>
      <c r="BD21" s="2" t="s">
        <v>52</v>
      </c>
      <c r="BE21" s="2" t="s">
        <v>52</v>
      </c>
      <c r="BF21" s="2" t="s">
        <v>52</v>
      </c>
      <c r="BG21" s="2" t="s">
        <v>52</v>
      </c>
      <c r="BH21" s="2" t="s">
        <v>52</v>
      </c>
      <c r="BI21" s="2" t="s">
        <v>52</v>
      </c>
      <c r="BJ21" s="2" t="s">
        <v>52</v>
      </c>
      <c r="BK21" s="33">
        <f t="shared" si="3"/>
        <v>-0.68788429555341035</v>
      </c>
    </row>
    <row r="22" spans="17:63" x14ac:dyDescent="0.25">
      <c r="Q22" s="32">
        <v>2021</v>
      </c>
      <c r="R22" t="s">
        <v>97</v>
      </c>
      <c r="S22" s="2"/>
      <c r="T22" s="2">
        <v>5.782918149466053E-3</v>
      </c>
      <c r="U22" s="2">
        <v>2.2114108801415933E-3</v>
      </c>
      <c r="V22" s="2">
        <v>3.7511032656663474E-3</v>
      </c>
      <c r="W22" s="2">
        <v>1.9125082435700193E-2</v>
      </c>
      <c r="X22" s="2">
        <v>4.3140638481447072E-4</v>
      </c>
      <c r="Y22" s="2">
        <v>6.4683053040103496E-3</v>
      </c>
      <c r="Z22" s="2">
        <v>1.0282776349614543E-2</v>
      </c>
      <c r="AA22" s="2">
        <v>1.0602205258693205E-3</v>
      </c>
      <c r="AB22" s="2">
        <v>5.5073077737767904E-3</v>
      </c>
      <c r="AC22" s="2">
        <v>5.6878028228353307E-3</v>
      </c>
      <c r="AD22" s="2">
        <v>5.6556346878927884E-3</v>
      </c>
      <c r="AE22" s="33">
        <f t="shared" si="1"/>
        <v>-9.8710698562266441E-2</v>
      </c>
      <c r="AG22" s="32">
        <v>2022</v>
      </c>
      <c r="AH22" t="s">
        <v>97</v>
      </c>
      <c r="AI22" s="2"/>
      <c r="AJ22" s="2">
        <v>4.3496271748138709E-3</v>
      </c>
      <c r="AK22" s="2">
        <v>6.1868426479684763E-3</v>
      </c>
      <c r="AL22" s="2">
        <v>7.3785611805698937E-3</v>
      </c>
      <c r="AM22" s="2">
        <v>7.527975584943794E-3</v>
      </c>
      <c r="AN22" s="2">
        <v>7.2697899838451881E-3</v>
      </c>
      <c r="AO22" s="2">
        <v>6.0144346431435444E-3</v>
      </c>
      <c r="AP22" s="2">
        <v>6.3770426464726752E-3</v>
      </c>
      <c r="AQ22" s="2">
        <v>6.1386138613861267E-3</v>
      </c>
      <c r="AR22" s="2">
        <v>5.3139145837432233E-3</v>
      </c>
      <c r="AS22" s="2">
        <v>5.8731401722787787E-3</v>
      </c>
      <c r="AT22" s="2">
        <v>3.8925652004670529E-3</v>
      </c>
      <c r="AU22" s="33">
        <f t="shared" si="2"/>
        <v>7.9082902546601261E-2</v>
      </c>
      <c r="AW22" s="32">
        <v>2023</v>
      </c>
      <c r="AX22" t="s">
        <v>97</v>
      </c>
      <c r="AY22" s="2"/>
      <c r="AZ22" s="2">
        <v>7.527504342791199E-3</v>
      </c>
      <c r="BA22" s="2">
        <v>0</v>
      </c>
      <c r="BB22" s="2">
        <v>2.4904214559385556E-3</v>
      </c>
      <c r="BC22" s="2">
        <v>3.4397095356391806E-3</v>
      </c>
      <c r="BD22" s="2" t="s">
        <v>52</v>
      </c>
      <c r="BE22" s="2" t="s">
        <v>52</v>
      </c>
      <c r="BF22" s="2" t="s">
        <v>52</v>
      </c>
      <c r="BG22" s="2" t="s">
        <v>52</v>
      </c>
      <c r="BH22" s="2" t="s">
        <v>52</v>
      </c>
      <c r="BI22" s="2" t="s">
        <v>52</v>
      </c>
      <c r="BJ22" s="2" t="s">
        <v>52</v>
      </c>
      <c r="BK22" s="33">
        <f t="shared" si="3"/>
        <v>0.22432511198668267</v>
      </c>
    </row>
    <row r="23" spans="17:63" x14ac:dyDescent="0.25">
      <c r="Q23" s="32">
        <v>2021</v>
      </c>
      <c r="R23" t="s">
        <v>98</v>
      </c>
      <c r="S23" s="2"/>
      <c r="T23" s="2">
        <v>1.2607690691321886E-2</v>
      </c>
      <c r="U23" s="2">
        <v>2.6976551151691457E-3</v>
      </c>
      <c r="V23" s="2">
        <v>3.9321192052979657E-3</v>
      </c>
      <c r="W23" s="2">
        <v>2.1026592455163917E-2</v>
      </c>
      <c r="X23" s="2">
        <v>3.0284675953965567E-3</v>
      </c>
      <c r="Y23" s="2">
        <v>4.2270531400965495E-3</v>
      </c>
      <c r="Z23" s="2">
        <v>6.8149929845663423E-3</v>
      </c>
      <c r="AA23" s="2">
        <v>1.5926737009754218E-3</v>
      </c>
      <c r="AB23" s="2">
        <v>3.9753528125620581E-3</v>
      </c>
      <c r="AC23" s="2">
        <v>4.7515343496336345E-3</v>
      </c>
      <c r="AD23" s="2">
        <v>4.334975369458218E-3</v>
      </c>
      <c r="AE23" s="33">
        <f t="shared" si="1"/>
        <v>0.20574322720395963</v>
      </c>
      <c r="AG23" s="32">
        <v>2022</v>
      </c>
      <c r="AH23" t="s">
        <v>98</v>
      </c>
      <c r="AI23" s="2"/>
      <c r="AJ23" s="2">
        <v>4.8809058961343773E-3</v>
      </c>
      <c r="AK23" s="2">
        <v>4.8571983679812376E-3</v>
      </c>
      <c r="AL23" s="2">
        <v>5.4137664346481269E-3</v>
      </c>
      <c r="AM23" s="2">
        <v>4.9999999999997156E-3</v>
      </c>
      <c r="AN23" s="2">
        <v>3.6356678147725762E-3</v>
      </c>
      <c r="AO23" s="2">
        <v>4.0038131553858545E-3</v>
      </c>
      <c r="AP23" s="2">
        <v>4.1777440182302426E-3</v>
      </c>
      <c r="AQ23" s="2">
        <v>5.6732223903177012E-3</v>
      </c>
      <c r="AR23" s="2">
        <v>5.2651372696501057E-3</v>
      </c>
      <c r="AS23" s="2">
        <v>6.1728395061732876E-3</v>
      </c>
      <c r="AT23" s="2">
        <v>7.2504182933628234E-3</v>
      </c>
      <c r="AU23" s="33">
        <f t="shared" si="2"/>
        <v>-0.33213721798226958</v>
      </c>
      <c r="AW23" s="32">
        <v>2023</v>
      </c>
      <c r="AX23" t="s">
        <v>98</v>
      </c>
      <c r="AY23" s="2"/>
      <c r="AZ23" s="2">
        <v>1.1549037580201774E-2</v>
      </c>
      <c r="BA23" s="2">
        <v>0</v>
      </c>
      <c r="BB23" s="2">
        <v>3.4432765494744055E-3</v>
      </c>
      <c r="BC23" s="2">
        <v>3.6120642947443946E-3</v>
      </c>
      <c r="BD23" s="2" t="s">
        <v>52</v>
      </c>
      <c r="BE23" s="2" t="s">
        <v>52</v>
      </c>
      <c r="BF23" s="2" t="s">
        <v>52</v>
      </c>
      <c r="BG23" s="2" t="s">
        <v>52</v>
      </c>
      <c r="BH23" s="2" t="s">
        <v>52</v>
      </c>
      <c r="BI23" s="2" t="s">
        <v>52</v>
      </c>
      <c r="BJ23" s="2" t="s">
        <v>52</v>
      </c>
      <c r="BK23" s="33">
        <f t="shared" si="3"/>
        <v>0.32587342219567839</v>
      </c>
    </row>
    <row r="24" spans="17:63" x14ac:dyDescent="0.25">
      <c r="Q24" s="32">
        <v>2021</v>
      </c>
      <c r="R24" t="s">
        <v>99</v>
      </c>
      <c r="S24" s="2"/>
      <c r="T24" s="2">
        <v>2.2284775979357394E-2</v>
      </c>
      <c r="U24" s="2">
        <v>7.8017439192289515E-3</v>
      </c>
      <c r="V24" s="2">
        <v>2.7322404371583147E-3</v>
      </c>
      <c r="W24" s="2">
        <v>1.5213442325159051E-2</v>
      </c>
      <c r="X24" s="2">
        <v>1.1854171326325106E-2</v>
      </c>
      <c r="Y24" s="2">
        <v>1.6136162687887042E-2</v>
      </c>
      <c r="Z24" s="2">
        <v>5.2207961714160296E-3</v>
      </c>
      <c r="AA24" s="2">
        <v>4.3280675178530327E-4</v>
      </c>
      <c r="AB24" s="2">
        <v>1.1031797534068712E-2</v>
      </c>
      <c r="AC24" s="2">
        <v>-5.3487376979031737E-3</v>
      </c>
      <c r="AD24" s="2">
        <v>5.8077005807700951E-3</v>
      </c>
      <c r="AE24" s="33">
        <f t="shared" si="1"/>
        <v>0.57717154058426801</v>
      </c>
      <c r="AG24" s="32">
        <v>2022</v>
      </c>
      <c r="AH24" t="s">
        <v>99</v>
      </c>
      <c r="AI24" s="2"/>
      <c r="AJ24" s="2">
        <v>2.5531914893617384E-3</v>
      </c>
      <c r="AK24" s="2">
        <v>6.1544991511035775E-3</v>
      </c>
      <c r="AL24" s="2">
        <v>2.9529635098080514E-2</v>
      </c>
      <c r="AM24" s="2">
        <v>2.8682646998565986E-3</v>
      </c>
      <c r="AN24" s="2">
        <v>-1.1644535240040893E-2</v>
      </c>
      <c r="AO24" s="2">
        <v>3.1004547333610697E-3</v>
      </c>
      <c r="AP24" s="2">
        <v>1.8545229754791553E-3</v>
      </c>
      <c r="AQ24" s="2">
        <v>2.4681201151787982E-3</v>
      </c>
      <c r="AR24" s="2">
        <v>3.4878949528108095E-3</v>
      </c>
      <c r="AS24" s="2">
        <v>6.1337149867099353E-4</v>
      </c>
      <c r="AT24" s="2">
        <v>2.451982018798564E-3</v>
      </c>
      <c r="AU24" s="33">
        <f t="shared" si="2"/>
        <v>-0.23944190987016845</v>
      </c>
      <c r="AW24" s="32">
        <v>2023</v>
      </c>
      <c r="AX24" t="s">
        <v>99</v>
      </c>
      <c r="AY24" s="2"/>
      <c r="AZ24" s="2">
        <v>3.4602076124567241E-3</v>
      </c>
      <c r="BA24" s="2">
        <v>0</v>
      </c>
      <c r="BB24" s="2">
        <v>2.0283975659228055E-3</v>
      </c>
      <c r="BC24" s="2">
        <v>1.8218623481782068E-3</v>
      </c>
      <c r="BD24" s="2" t="s">
        <v>52</v>
      </c>
      <c r="BE24" s="2" t="s">
        <v>52</v>
      </c>
      <c r="BF24" s="2" t="s">
        <v>52</v>
      </c>
      <c r="BG24" s="2" t="s">
        <v>52</v>
      </c>
      <c r="BH24" s="2" t="s">
        <v>52</v>
      </c>
      <c r="BI24" s="2" t="s">
        <v>52</v>
      </c>
      <c r="BJ24" s="2" t="s">
        <v>52</v>
      </c>
      <c r="BK24" s="33">
        <f t="shared" si="3"/>
        <v>0.39249638885581789</v>
      </c>
    </row>
    <row r="25" spans="17:63" x14ac:dyDescent="0.25">
      <c r="Q25" s="32">
        <v>2021</v>
      </c>
      <c r="R25" t="s">
        <v>100</v>
      </c>
      <c r="S25" s="2"/>
      <c r="T25" s="2">
        <v>1.2663852477227322E-2</v>
      </c>
      <c r="U25" s="2">
        <v>7.0206230802983514E-3</v>
      </c>
      <c r="V25" s="2">
        <v>4.1394335511982074E-3</v>
      </c>
      <c r="W25" s="2">
        <v>1.6272510305923193E-2</v>
      </c>
      <c r="X25" s="2">
        <v>-5.1238257899230335E-3</v>
      </c>
      <c r="Y25" s="2">
        <v>2.5751072961371925E-3</v>
      </c>
      <c r="Z25" s="2">
        <v>1.1130136986301468E-2</v>
      </c>
      <c r="AA25" s="2">
        <v>4.0220152413208664E-3</v>
      </c>
      <c r="AB25" s="2">
        <v>5.4817625975121711E-3</v>
      </c>
      <c r="AC25" s="2">
        <v>7.1293772279303362E-3</v>
      </c>
      <c r="AD25" s="2">
        <v>4.9968769519051302E-3</v>
      </c>
      <c r="AE25" s="33">
        <f t="shared" si="1"/>
        <v>1.866470827364887E-2</v>
      </c>
      <c r="AG25" s="32">
        <v>2022</v>
      </c>
      <c r="AH25" t="s">
        <v>100</v>
      </c>
      <c r="AI25" s="2"/>
      <c r="AJ25" s="2">
        <v>5.3663570691434934E-3</v>
      </c>
      <c r="AK25" s="2">
        <v>7.3906795319237341E-3</v>
      </c>
      <c r="AL25" s="2">
        <v>6.3175056042386558E-3</v>
      </c>
      <c r="AM25" s="2">
        <v>4.2527339003644513E-3</v>
      </c>
      <c r="AN25" s="2">
        <v>4.0330711837065075E-3</v>
      </c>
      <c r="AO25" s="2">
        <v>3.2134966860815311E-3</v>
      </c>
      <c r="AP25" s="2">
        <v>3.6036036036035694E-3</v>
      </c>
      <c r="AQ25" s="2">
        <v>4.1891083183721641E-3</v>
      </c>
      <c r="AR25" s="2">
        <v>3.3770361541519151E-3</v>
      </c>
      <c r="AS25" s="2">
        <v>1.7818253811125496E-3</v>
      </c>
      <c r="AT25" s="2">
        <v>2.3715415019763186E-3</v>
      </c>
      <c r="AU25" s="33">
        <f t="shared" si="2"/>
        <v>0.61034501430237154</v>
      </c>
      <c r="AW25" s="32">
        <v>2023</v>
      </c>
      <c r="AX25" t="s">
        <v>100</v>
      </c>
      <c r="AY25" s="2"/>
      <c r="AZ25" s="2">
        <v>4.7142015321155646E-3</v>
      </c>
      <c r="BA25" s="2">
        <v>0</v>
      </c>
      <c r="BB25" s="2">
        <v>2.3460410557183415E-3</v>
      </c>
      <c r="BC25" s="2">
        <v>2.9256875365710941E-3</v>
      </c>
      <c r="BD25" s="2" t="s">
        <v>52</v>
      </c>
      <c r="BE25" s="2" t="s">
        <v>52</v>
      </c>
      <c r="BF25" s="2" t="s">
        <v>52</v>
      </c>
      <c r="BG25" s="2" t="s">
        <v>52</v>
      </c>
      <c r="BH25" s="2" t="s">
        <v>52</v>
      </c>
      <c r="BI25" s="2" t="s">
        <v>52</v>
      </c>
      <c r="BJ25" s="2" t="s">
        <v>52</v>
      </c>
      <c r="BK25" s="33">
        <f t="shared" si="3"/>
        <v>0.22033158150085064</v>
      </c>
    </row>
    <row r="26" spans="17:63" x14ac:dyDescent="0.25">
      <c r="Q26" s="32">
        <v>2021</v>
      </c>
      <c r="R26" t="s">
        <v>101</v>
      </c>
      <c r="S26" s="2"/>
      <c r="T26" s="2">
        <v>1.879699248120372E-3</v>
      </c>
      <c r="U26" s="2">
        <v>3.9608088388575716E-3</v>
      </c>
      <c r="V26" s="2">
        <v>8.3056478405310889E-4</v>
      </c>
      <c r="W26" s="2">
        <v>7.0539419087136462E-3</v>
      </c>
      <c r="X26" s="2">
        <v>2.4721878862793926E-3</v>
      </c>
      <c r="Y26" s="2">
        <v>8.4258117550349843E-3</v>
      </c>
      <c r="Z26" s="2">
        <v>2.0379050336254909E-3</v>
      </c>
      <c r="AA26" s="2">
        <v>1.6270083384176419E-3</v>
      </c>
      <c r="AB26" s="2">
        <v>1.4213197969544071E-3</v>
      </c>
      <c r="AC26" s="2">
        <v>2.4330900243309346E-3</v>
      </c>
      <c r="AD26" s="2">
        <v>6.0679611650481984E-4</v>
      </c>
      <c r="AE26" s="33">
        <f t="shared" si="1"/>
        <v>0.17291806384455438</v>
      </c>
      <c r="AG26" s="32">
        <v>2022</v>
      </c>
      <c r="AH26" t="s">
        <v>101</v>
      </c>
      <c r="AI26" s="2"/>
      <c r="AJ26" s="2">
        <v>4.2372881355931509E-3</v>
      </c>
      <c r="AK26" s="2">
        <v>3.2147880249144244E-3</v>
      </c>
      <c r="AL26" s="2">
        <v>5.0070098137392927E-3</v>
      </c>
      <c r="AM26" s="2">
        <v>6.1777600637705852E-3</v>
      </c>
      <c r="AN26" s="2">
        <v>6.3378886908298446E-3</v>
      </c>
      <c r="AO26" s="2">
        <v>1.3973627238732578E-2</v>
      </c>
      <c r="AP26" s="2">
        <v>5.240683229813697E-3</v>
      </c>
      <c r="AQ26" s="2">
        <v>4.4410117783354975E-3</v>
      </c>
      <c r="AR26" s="2">
        <v>1.7301038062284392E-3</v>
      </c>
      <c r="AS26" s="2">
        <v>1.9190174630588045E-3</v>
      </c>
      <c r="AT26" s="2">
        <v>2.1068760773798557E-3</v>
      </c>
      <c r="AU26" s="33">
        <f t="shared" si="2"/>
        <v>-0.19560107196220647</v>
      </c>
      <c r="AW26" s="32">
        <v>2023</v>
      </c>
      <c r="AX26" t="s">
        <v>101</v>
      </c>
      <c r="AY26" s="2"/>
      <c r="AZ26" s="2">
        <v>4.0083985493414116E-3</v>
      </c>
      <c r="BA26" s="2">
        <v>0</v>
      </c>
      <c r="BB26" s="2">
        <v>7.6045627376424771E-3</v>
      </c>
      <c r="BC26" s="2">
        <v>4.1509433962265011E-3</v>
      </c>
      <c r="BD26" s="2" t="s">
        <v>52</v>
      </c>
      <c r="BE26" s="2" t="s">
        <v>52</v>
      </c>
      <c r="BF26" s="2" t="s">
        <v>52</v>
      </c>
      <c r="BG26" s="2" t="s">
        <v>52</v>
      </c>
      <c r="BH26" s="2" t="s">
        <v>52</v>
      </c>
      <c r="BI26" s="2" t="s">
        <v>52</v>
      </c>
      <c r="BJ26" s="2" t="s">
        <v>52</v>
      </c>
      <c r="BK26" s="33">
        <f t="shared" si="3"/>
        <v>0.57847176620175678</v>
      </c>
    </row>
    <row r="27" spans="17:63" x14ac:dyDescent="0.25">
      <c r="Q27" s="32">
        <v>2021</v>
      </c>
      <c r="R27" t="s">
        <v>102</v>
      </c>
      <c r="S27" s="2"/>
      <c r="T27" s="2">
        <v>-6.3734862970044612E-3</v>
      </c>
      <c r="U27" s="2">
        <v>-1.2614924096642976E-2</v>
      </c>
      <c r="V27" s="2">
        <v>1.0394110004330655E-2</v>
      </c>
      <c r="W27" s="2">
        <v>1.8859837119588538E-2</v>
      </c>
      <c r="X27" s="2">
        <v>1.682793437105679E-3</v>
      </c>
      <c r="Y27" s="2">
        <v>8.1898362032758257E-3</v>
      </c>
      <c r="Z27" s="2">
        <v>-4.1657987919181135E-4</v>
      </c>
      <c r="AA27" s="2">
        <v>-2.0837674515522883E-4</v>
      </c>
      <c r="AB27" s="2">
        <v>5.0020842017508005E-3</v>
      </c>
      <c r="AC27" s="2">
        <v>8.7100788054747646E-3</v>
      </c>
      <c r="AD27" s="2">
        <v>2.8782894736842225E-3</v>
      </c>
      <c r="AE27" s="33">
        <f t="shared" si="1"/>
        <v>-0.20072406191273801</v>
      </c>
      <c r="AG27" s="32">
        <v>2022</v>
      </c>
      <c r="AH27" t="s">
        <v>102</v>
      </c>
      <c r="AI27" s="2"/>
      <c r="AJ27" s="2">
        <v>8.3844580777096573E-3</v>
      </c>
      <c r="AK27" s="2">
        <v>1.6832285540458233E-2</v>
      </c>
      <c r="AL27" s="2">
        <v>9.5731950538493586E-3</v>
      </c>
      <c r="AM27" s="2">
        <v>-2.1730541288028896E-3</v>
      </c>
      <c r="AN27" s="2">
        <v>5.9394179370421693E-3</v>
      </c>
      <c r="AO27" s="2">
        <v>2.1649281637471708E-3</v>
      </c>
      <c r="AP27" s="2">
        <v>8.8373919874314335E-3</v>
      </c>
      <c r="AQ27" s="2">
        <v>-1.7519953280126909E-3</v>
      </c>
      <c r="AR27" s="2">
        <v>7.0202808112325502E-3</v>
      </c>
      <c r="AS27" s="2">
        <v>8.5205267234701888E-3</v>
      </c>
      <c r="AT27" s="2">
        <v>1.2864823348694404E-2</v>
      </c>
      <c r="AU27" s="33">
        <f t="shared" si="2"/>
        <v>0.25078797319164986</v>
      </c>
      <c r="AW27" s="32">
        <v>2023</v>
      </c>
      <c r="AX27" t="s">
        <v>102</v>
      </c>
      <c r="AY27" s="2"/>
      <c r="AZ27" s="2">
        <v>1.3624486748786723E-2</v>
      </c>
      <c r="BA27" s="2">
        <v>1.8412815319492702E-4</v>
      </c>
      <c r="BB27" s="2">
        <v>1.6568483063328421E-2</v>
      </c>
      <c r="BC27" s="2">
        <v>6.3382832307133027E-3</v>
      </c>
      <c r="BD27" s="2" t="s">
        <v>52</v>
      </c>
      <c r="BE27" s="2" t="s">
        <v>52</v>
      </c>
      <c r="BF27" s="2" t="s">
        <v>52</v>
      </c>
      <c r="BG27" s="2" t="s">
        <v>52</v>
      </c>
      <c r="BH27" s="2" t="s">
        <v>52</v>
      </c>
      <c r="BI27" s="2" t="s">
        <v>52</v>
      </c>
      <c r="BJ27" s="2" t="s">
        <v>52</v>
      </c>
      <c r="BK27" s="33">
        <f t="shared" si="3"/>
        <v>0.7720219710773949</v>
      </c>
    </row>
    <row r="28" spans="17:63" x14ac:dyDescent="0.25">
      <c r="Q28" s="32">
        <v>2021</v>
      </c>
      <c r="R28" t="s">
        <v>103</v>
      </c>
      <c r="S28" s="2"/>
      <c r="T28" s="2">
        <v>9.8814229249013733E-3</v>
      </c>
      <c r="U28" s="2">
        <v>2.6092628832355227E-3</v>
      </c>
      <c r="V28" s="2">
        <v>3.9037085230967197E-3</v>
      </c>
      <c r="W28" s="2">
        <v>1.5770144739684806E-2</v>
      </c>
      <c r="X28" s="2">
        <v>4.8915355168012639E-3</v>
      </c>
      <c r="Y28" s="2">
        <v>9.1005291005291245E-3</v>
      </c>
      <c r="Z28" s="2">
        <v>5.2432885906040861E-3</v>
      </c>
      <c r="AA28" s="2">
        <v>1.0431879824743826E-3</v>
      </c>
      <c r="AB28" s="2">
        <v>6.0441850771154769E-3</v>
      </c>
      <c r="AC28" s="2">
        <v>2.4860161591050696E-3</v>
      </c>
      <c r="AD28" s="2">
        <v>3.9264310808017717E-3</v>
      </c>
      <c r="AE28" s="33">
        <f t="shared" si="1"/>
        <v>0.32240211678714353</v>
      </c>
      <c r="AG28" s="32">
        <v>2022</v>
      </c>
      <c r="AH28" t="s">
        <v>103</v>
      </c>
      <c r="AI28" s="2"/>
      <c r="AJ28" s="2">
        <v>4.7140807542530028E-3</v>
      </c>
      <c r="AK28" s="2">
        <v>6.7319461444308093E-3</v>
      </c>
      <c r="AL28" s="2">
        <v>1.3373860182370752E-2</v>
      </c>
      <c r="AM28" s="2">
        <v>4.1991601679665091E-3</v>
      </c>
      <c r="AN28" s="2">
        <v>1.991238550378222E-4</v>
      </c>
      <c r="AO28" s="2">
        <v>5.1761895281704608E-3</v>
      </c>
      <c r="AP28" s="2">
        <v>4.3572984749454544E-3</v>
      </c>
      <c r="AQ28" s="2">
        <v>3.5495957404850778E-3</v>
      </c>
      <c r="AR28" s="2">
        <v>4.5195519748477894E-3</v>
      </c>
      <c r="AS28" s="2">
        <v>3.7167449139279677E-3</v>
      </c>
      <c r="AT28" s="2">
        <v>5.0672383550965164E-3</v>
      </c>
      <c r="AU28" s="33">
        <f t="shared" si="2"/>
        <v>-0.18081328564637136</v>
      </c>
      <c r="AW28" s="32">
        <v>2023</v>
      </c>
      <c r="AX28" t="s">
        <v>103</v>
      </c>
      <c r="AY28" s="2"/>
      <c r="AZ28" s="2">
        <v>7.3330760324198264E-3</v>
      </c>
      <c r="BA28" s="2">
        <v>0</v>
      </c>
      <c r="BB28" s="2">
        <v>5.3639846743293602E-3</v>
      </c>
      <c r="BC28" s="2">
        <v>3.8109756097562063E-3</v>
      </c>
      <c r="BD28" s="2" t="s">
        <v>52</v>
      </c>
      <c r="BE28" s="2" t="s">
        <v>52</v>
      </c>
      <c r="BF28" s="2" t="s">
        <v>52</v>
      </c>
      <c r="BG28" s="2" t="s">
        <v>52</v>
      </c>
      <c r="BH28" s="2" t="s">
        <v>52</v>
      </c>
      <c r="BI28" s="2" t="s">
        <v>52</v>
      </c>
      <c r="BJ28" s="2" t="s">
        <v>52</v>
      </c>
      <c r="BK28" s="33">
        <f t="shared" si="3"/>
        <v>0.51430810953467776</v>
      </c>
    </row>
    <row r="29" spans="17:63" x14ac:dyDescent="0.25">
      <c r="Q29" s="32">
        <v>2021</v>
      </c>
      <c r="R29" t="s">
        <v>104</v>
      </c>
      <c r="S29" s="2"/>
      <c r="T29" s="2">
        <v>-4.2390843577788401E-3</v>
      </c>
      <c r="U29" s="2">
        <v>1.2771392081737999E-3</v>
      </c>
      <c r="V29" s="2">
        <v>6.3775510204079813E-3</v>
      </c>
      <c r="W29" s="2">
        <v>1.6054076890578962E-2</v>
      </c>
      <c r="X29" s="2">
        <v>5.8212058212058441E-3</v>
      </c>
      <c r="Y29" s="2">
        <v>7.6477883422901198E-3</v>
      </c>
      <c r="Z29" s="2">
        <v>3.2820512820512706E-3</v>
      </c>
      <c r="AA29" s="2">
        <v>8.1782866489465804E-4</v>
      </c>
      <c r="AB29" s="2">
        <v>1.4096016343207425E-2</v>
      </c>
      <c r="AC29" s="2">
        <v>7.050765511684068E-3</v>
      </c>
      <c r="AD29" s="2">
        <v>-3.000600120024005E-3</v>
      </c>
      <c r="AE29" s="33">
        <f t="shared" si="1"/>
        <v>0.25608065434700911</v>
      </c>
      <c r="AG29" s="32">
        <v>2022</v>
      </c>
      <c r="AH29" t="s">
        <v>104</v>
      </c>
      <c r="AI29" s="2"/>
      <c r="AJ29" s="2">
        <v>2.4140012070004661E-3</v>
      </c>
      <c r="AK29" s="2">
        <v>9.231386714830413E-3</v>
      </c>
      <c r="AL29" s="2">
        <v>1.4316961622589018E-2</v>
      </c>
      <c r="AM29" s="2">
        <v>9.6059596157615709E-3</v>
      </c>
      <c r="AN29" s="2">
        <v>5.0485436893204332E-3</v>
      </c>
      <c r="AO29" s="2">
        <v>4.6367851622875463E-3</v>
      </c>
      <c r="AP29" s="2">
        <v>5.1923076923077252E-3</v>
      </c>
      <c r="AQ29" s="2">
        <v>5.9307442127413601E-3</v>
      </c>
      <c r="AR29" s="2">
        <v>7.7976416888551215E-3</v>
      </c>
      <c r="AS29" s="2">
        <v>-2.8307227778824585E-3</v>
      </c>
      <c r="AT29" s="2">
        <v>-2.8387585162757099E-3</v>
      </c>
      <c r="AU29" s="33">
        <f t="shared" si="2"/>
        <v>0.24016967781395263</v>
      </c>
      <c r="AW29" s="32">
        <v>2023</v>
      </c>
      <c r="AX29" t="s">
        <v>104</v>
      </c>
      <c r="AY29" s="2"/>
      <c r="AZ29" s="2">
        <v>4.3461829176114032E-3</v>
      </c>
      <c r="BA29" s="2">
        <v>0</v>
      </c>
      <c r="BB29" s="2">
        <v>5.2681091251176133E-3</v>
      </c>
      <c r="BC29" s="2">
        <v>5.2405015908664164E-3</v>
      </c>
      <c r="BD29" s="2" t="s">
        <v>52</v>
      </c>
      <c r="BE29" s="2" t="s">
        <v>52</v>
      </c>
      <c r="BF29" s="2" t="s">
        <v>52</v>
      </c>
      <c r="BG29" s="2" t="s">
        <v>52</v>
      </c>
      <c r="BH29" s="2" t="s">
        <v>52</v>
      </c>
      <c r="BI29" s="2" t="s">
        <v>52</v>
      </c>
      <c r="BJ29" s="2" t="s">
        <v>52</v>
      </c>
      <c r="BK29" s="33">
        <f t="shared" si="3"/>
        <v>0.21862815132164262</v>
      </c>
    </row>
    <row r="33" spans="1:32" x14ac:dyDescent="0.25">
      <c r="B33" s="3" t="s">
        <v>0</v>
      </c>
      <c r="C33" t="s">
        <v>136</v>
      </c>
      <c r="E33" s="1"/>
      <c r="F33" s="1"/>
      <c r="G33" s="1"/>
      <c r="H33" s="7"/>
      <c r="I33" s="7"/>
      <c r="J33" s="1"/>
      <c r="K33" s="1"/>
      <c r="L33" s="1"/>
      <c r="M33" s="1"/>
      <c r="N33" s="1"/>
    </row>
    <row r="34" spans="1:32" x14ac:dyDescent="0.25"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32" x14ac:dyDescent="0.25">
      <c r="C35" s="3" t="s">
        <v>3</v>
      </c>
    </row>
    <row r="36" spans="1:32" ht="15.6" x14ac:dyDescent="0.3">
      <c r="A36" s="31" t="s">
        <v>163</v>
      </c>
      <c r="B36" s="3" t="s">
        <v>66</v>
      </c>
      <c r="C36" s="10">
        <v>44166</v>
      </c>
      <c r="D36" s="10">
        <v>44197</v>
      </c>
      <c r="E36" s="10">
        <v>44228</v>
      </c>
      <c r="F36" s="10">
        <v>44256</v>
      </c>
      <c r="G36" s="10">
        <v>44287</v>
      </c>
      <c r="H36" s="10">
        <v>44317</v>
      </c>
      <c r="I36" s="10">
        <v>44348</v>
      </c>
      <c r="J36" s="10">
        <v>44378</v>
      </c>
      <c r="K36" s="10">
        <v>44409</v>
      </c>
      <c r="L36" s="10">
        <v>44440</v>
      </c>
      <c r="M36" s="10">
        <v>44470</v>
      </c>
      <c r="N36" s="10">
        <v>44501</v>
      </c>
      <c r="O36" s="10">
        <v>44531</v>
      </c>
      <c r="P36" s="10">
        <v>44562</v>
      </c>
      <c r="Q36" s="10">
        <v>44593</v>
      </c>
      <c r="R36" s="10">
        <v>44621</v>
      </c>
      <c r="S36" s="10">
        <v>44652</v>
      </c>
      <c r="T36" s="10">
        <v>44682</v>
      </c>
      <c r="U36" s="10">
        <v>44713</v>
      </c>
      <c r="V36" s="10">
        <v>44743</v>
      </c>
      <c r="W36" s="10">
        <v>44774</v>
      </c>
      <c r="X36" s="10">
        <v>44805</v>
      </c>
      <c r="Y36" s="10">
        <v>44835</v>
      </c>
      <c r="Z36" s="10">
        <v>44866</v>
      </c>
      <c r="AA36" s="10">
        <v>44896</v>
      </c>
      <c r="AB36" s="10">
        <v>44927</v>
      </c>
      <c r="AC36" s="10">
        <v>44958</v>
      </c>
      <c r="AD36" s="10">
        <v>44986</v>
      </c>
      <c r="AE36" s="10">
        <v>45017</v>
      </c>
      <c r="AF36" s="10">
        <v>45047</v>
      </c>
    </row>
    <row r="37" spans="1:32" x14ac:dyDescent="0.25">
      <c r="A37" s="33" t="e">
        <f t="shared" ref="A37:A63" si="7">CORREL(C37:AE37,$C$64:$AF$64)</f>
        <v>#N/A</v>
      </c>
      <c r="B37" t="s">
        <v>67</v>
      </c>
      <c r="C37" s="2"/>
      <c r="D37" s="2">
        <v>-7.5068243858054332E-3</v>
      </c>
      <c r="E37" s="2">
        <v>-3.6672014668803791E-3</v>
      </c>
      <c r="F37" s="2">
        <v>-1.3802622498273887E-3</v>
      </c>
      <c r="G37" s="2">
        <v>1.1518083390921129E-3</v>
      </c>
      <c r="H37" s="2">
        <v>1.2885411872986904E-2</v>
      </c>
      <c r="I37" s="2">
        <v>2.9532030895046022E-3</v>
      </c>
      <c r="J37" s="2">
        <v>-2.038505096262625E-3</v>
      </c>
      <c r="K37" s="2">
        <v>4.539264639126268E-4</v>
      </c>
      <c r="L37" s="2">
        <v>1.134301270417552E-3</v>
      </c>
      <c r="M37" s="2">
        <v>5.211874008611013E-3</v>
      </c>
      <c r="N37" s="2">
        <v>5.6357078449053837E-3</v>
      </c>
      <c r="O37" s="2">
        <v>3.5866397668682108E-3</v>
      </c>
      <c r="P37" s="2">
        <v>5.1373687737324997E-3</v>
      </c>
      <c r="Q37" s="2">
        <v>2.8888888888889143E-3</v>
      </c>
      <c r="R37" s="2">
        <v>8.6417017504984463E-3</v>
      </c>
      <c r="S37" s="2">
        <v>1.0764499121265517E-2</v>
      </c>
      <c r="T37" s="2">
        <v>7.8243860030425567E-3</v>
      </c>
      <c r="U37" s="2">
        <v>5.6070735389262636E-3</v>
      </c>
      <c r="V37" s="2">
        <v>1.0079348059189338E-2</v>
      </c>
      <c r="W37" s="2">
        <v>2.3142250530785516E-2</v>
      </c>
      <c r="X37" s="2">
        <v>1.9506121601992069E-2</v>
      </c>
      <c r="Y37" s="2">
        <v>1.0177081213108197E-2</v>
      </c>
      <c r="Z37" s="2">
        <v>1.2895426153536293E-2</v>
      </c>
      <c r="AA37" s="2">
        <v>1.094091903719901E-2</v>
      </c>
      <c r="AB37" s="2">
        <v>2.5383707201889087E-2</v>
      </c>
      <c r="AC37" s="2">
        <v>4.2218384187293701E-3</v>
      </c>
      <c r="AD37" s="2">
        <v>1.9109497420249352E-4</v>
      </c>
      <c r="AE37" s="2">
        <v>-2.8658769583492544E-3</v>
      </c>
      <c r="AF37" s="2">
        <v>-5.7482276298170798E-4</v>
      </c>
    </row>
    <row r="38" spans="1:32" x14ac:dyDescent="0.25">
      <c r="A38" s="33" t="e">
        <f t="shared" si="7"/>
        <v>#N/A</v>
      </c>
      <c r="B38" t="s">
        <v>69</v>
      </c>
      <c r="C38" s="2"/>
      <c r="D38" s="2">
        <v>-4.867872044506426E-3</v>
      </c>
      <c r="E38" s="2">
        <v>-1.8693221523410037E-2</v>
      </c>
      <c r="F38" s="2">
        <v>3.0977390065871368E-2</v>
      </c>
      <c r="G38" s="2">
        <v>2.9183215334139142E-2</v>
      </c>
      <c r="H38" s="2">
        <v>1.2248322147651026E-2</v>
      </c>
      <c r="I38" s="2">
        <v>7.1274656058345955E-3</v>
      </c>
      <c r="J38" s="2">
        <v>2.4028966425279828E-2</v>
      </c>
      <c r="K38" s="2">
        <v>-1.3661202185792257E-2</v>
      </c>
      <c r="L38" s="2">
        <v>-3.2589212970518799E-4</v>
      </c>
      <c r="M38" s="2">
        <v>3.2599837000814535E-3</v>
      </c>
      <c r="N38" s="2">
        <v>-1.494719740048739E-2</v>
      </c>
      <c r="O38" s="2">
        <v>-1.3689592610918613E-2</v>
      </c>
      <c r="P38" s="2">
        <v>-5.0167224080278959E-4</v>
      </c>
      <c r="Q38" s="2">
        <v>1.0373096871340118E-2</v>
      </c>
      <c r="R38" s="2">
        <v>5.0670640834575349E-2</v>
      </c>
      <c r="S38" s="2">
        <v>4.4129235618596153E-3</v>
      </c>
      <c r="T38" s="2">
        <v>2.447826769182497E-2</v>
      </c>
      <c r="U38" s="2">
        <v>1.0874559656915337E-2</v>
      </c>
      <c r="V38" s="2">
        <v>-2.8939393939393845E-2</v>
      </c>
      <c r="W38" s="2">
        <v>-3.0269932906849883E-2</v>
      </c>
      <c r="X38" s="2">
        <v>1.303298471440059E-2</v>
      </c>
      <c r="Y38" s="2">
        <v>7.9415501905972952E-3</v>
      </c>
      <c r="Z38" s="2">
        <v>-7.2486605735896537E-3</v>
      </c>
      <c r="AA38" s="2">
        <v>-1.9047619047619319E-3</v>
      </c>
      <c r="AB38" s="2">
        <v>8.5877862595420389E-3</v>
      </c>
      <c r="AC38" s="2">
        <v>-1.4348785871964805E-2</v>
      </c>
      <c r="AD38" s="2">
        <v>0</v>
      </c>
      <c r="AE38" s="2">
        <v>7.6787713965766578E-3</v>
      </c>
      <c r="AF38" s="2">
        <v>2.4289569772979948E-2</v>
      </c>
    </row>
    <row r="39" spans="1:32" x14ac:dyDescent="0.25">
      <c r="A39" s="33" t="e">
        <f t="shared" si="7"/>
        <v>#N/A</v>
      </c>
      <c r="B39" t="s">
        <v>71</v>
      </c>
      <c r="C39" s="2"/>
      <c r="D39" s="2">
        <v>1.8975332068326298E-4</v>
      </c>
      <c r="E39" s="2">
        <v>-3.8892050844242132E-2</v>
      </c>
      <c r="F39" s="2">
        <v>-2.9411764705882363E-2</v>
      </c>
      <c r="G39" s="2">
        <v>5.4911531421597149E-3</v>
      </c>
      <c r="H39" s="2">
        <v>3.5396440129449896E-2</v>
      </c>
      <c r="I39" s="2">
        <v>6.0363352217229833E-2</v>
      </c>
      <c r="J39" s="2">
        <v>8.8430361090642388E-3</v>
      </c>
      <c r="K39" s="2">
        <v>-4.4192841490138766E-2</v>
      </c>
      <c r="L39" s="2">
        <v>-8.5976308750477654E-3</v>
      </c>
      <c r="M39" s="2">
        <v>-8.8649065330508366E-3</v>
      </c>
      <c r="N39" s="2">
        <v>1.0888586428154819E-2</v>
      </c>
      <c r="O39" s="2">
        <v>2.7889978842085075E-2</v>
      </c>
      <c r="P39" s="2">
        <v>4.6781437125749037E-3</v>
      </c>
      <c r="Q39" s="2">
        <v>-1.7135406965915419E-2</v>
      </c>
      <c r="R39" s="2">
        <v>-4.6048891415577158E-2</v>
      </c>
      <c r="S39" s="2">
        <v>-1.9467620182757162E-2</v>
      </c>
      <c r="T39" s="2">
        <v>-1.1547811993517053E-2</v>
      </c>
      <c r="U39" s="2">
        <v>5.185488829678233E-2</v>
      </c>
      <c r="V39" s="2">
        <v>2.513639906469186E-2</v>
      </c>
      <c r="W39" s="2">
        <v>-3.4214027751378072E-2</v>
      </c>
      <c r="X39" s="2">
        <v>2.9521747687464781E-3</v>
      </c>
      <c r="Y39" s="2">
        <v>6.8681318681318116E-3</v>
      </c>
      <c r="Z39" s="2">
        <v>6.1781329175599274E-2</v>
      </c>
      <c r="AA39" s="2">
        <v>4.8458149779735747E-2</v>
      </c>
      <c r="AB39" s="2">
        <v>2.3109243697478871E-2</v>
      </c>
      <c r="AC39" s="2">
        <v>-9.9418206707734477E-2</v>
      </c>
      <c r="AD39" s="2">
        <v>0</v>
      </c>
      <c r="AE39" s="2">
        <v>-3.1160934828044693E-2</v>
      </c>
      <c r="AF39" s="2">
        <v>2.1572857423024068E-2</v>
      </c>
    </row>
    <row r="40" spans="1:32" x14ac:dyDescent="0.25">
      <c r="A40" s="33" t="e">
        <f t="shared" si="7"/>
        <v>#N/A</v>
      </c>
      <c r="B40" t="s">
        <v>73</v>
      </c>
      <c r="C40" s="2"/>
      <c r="D40" s="2">
        <v>4.3261951113992783E-4</v>
      </c>
      <c r="E40" s="2">
        <v>3.6756756756756515E-3</v>
      </c>
      <c r="F40" s="2">
        <v>1.7233950883240841E-3</v>
      </c>
      <c r="G40" s="2">
        <v>3.0107526881720552E-3</v>
      </c>
      <c r="H40" s="2">
        <v>4.2881646655232777E-3</v>
      </c>
      <c r="I40" s="2">
        <v>8.5397096498695971E-4</v>
      </c>
      <c r="J40" s="2">
        <v>8.5324232081911873E-3</v>
      </c>
      <c r="K40" s="2">
        <v>4.864636209813959E-3</v>
      </c>
      <c r="L40" s="2">
        <v>8.4192801515465643E-4</v>
      </c>
      <c r="M40" s="2">
        <v>1.6824395373290315E-3</v>
      </c>
      <c r="N40" s="2">
        <v>3.5691790888097291E-3</v>
      </c>
      <c r="O40" s="2">
        <v>3.5564853556485114E-3</v>
      </c>
      <c r="P40" s="2">
        <v>3.5438815926620566E-3</v>
      </c>
      <c r="Q40" s="2">
        <v>1.2463647694224468E-3</v>
      </c>
      <c r="R40" s="2">
        <v>9.9585062240663547E-3</v>
      </c>
      <c r="S40" s="2">
        <v>1.0476581758422455E-2</v>
      </c>
      <c r="T40" s="2">
        <v>6.0988005692213867E-3</v>
      </c>
      <c r="U40" s="2">
        <v>5.4556476055769186E-3</v>
      </c>
      <c r="V40" s="2">
        <v>4.8231511254018264E-3</v>
      </c>
      <c r="W40" s="2">
        <v>8.8000000000000127E-3</v>
      </c>
      <c r="X40" s="2">
        <v>9.7145122918318345E-3</v>
      </c>
      <c r="Y40" s="2">
        <v>6.872177498527335E-3</v>
      </c>
      <c r="Z40" s="2">
        <v>7.9953198127928893E-3</v>
      </c>
      <c r="AA40" s="2">
        <v>7.7384407041978277E-3</v>
      </c>
      <c r="AB40" s="2">
        <v>6.1432136686502279E-3</v>
      </c>
      <c r="AC40" s="2">
        <v>1.545506582713249E-2</v>
      </c>
      <c r="AD40" s="2">
        <v>0</v>
      </c>
      <c r="AE40" s="2">
        <v>6.012777151446963E-3</v>
      </c>
      <c r="AF40" s="2">
        <v>5.7900635039221304E-3</v>
      </c>
    </row>
    <row r="41" spans="1:32" x14ac:dyDescent="0.25">
      <c r="A41" s="33" t="e">
        <f t="shared" si="7"/>
        <v>#N/A</v>
      </c>
      <c r="B41" t="s">
        <v>76</v>
      </c>
      <c r="C41" s="2"/>
      <c r="D41" s="2">
        <v>2.8584495769494758E-2</v>
      </c>
      <c r="E41" s="2">
        <v>5.1800800355713737E-2</v>
      </c>
      <c r="F41" s="2">
        <v>3.2551257662227807E-2</v>
      </c>
      <c r="G41" s="2">
        <v>3.7256908904810621E-2</v>
      </c>
      <c r="H41" s="2">
        <v>4.9733570159857771E-2</v>
      </c>
      <c r="I41" s="2">
        <v>2.7072758037225111E-2</v>
      </c>
      <c r="J41" s="2">
        <v>-8.9694307157239198E-3</v>
      </c>
      <c r="K41" s="2">
        <v>2.3088289619504935E-2</v>
      </c>
      <c r="L41" s="2">
        <v>8.3047481494854559E-3</v>
      </c>
      <c r="M41" s="2">
        <v>1.3428827215756492E-2</v>
      </c>
      <c r="N41" s="2">
        <v>-3.0035335689045737E-3</v>
      </c>
      <c r="O41" s="2">
        <v>-1.3113592060960341E-2</v>
      </c>
      <c r="P41" s="2">
        <v>-1.544262883821172E-2</v>
      </c>
      <c r="Q41" s="2">
        <v>1.276673354003366E-3</v>
      </c>
      <c r="R41" s="2">
        <v>5.2276867030965526E-2</v>
      </c>
      <c r="S41" s="2">
        <v>2.6311234204604295E-2</v>
      </c>
      <c r="T41" s="2">
        <v>1.5010963062911125E-2</v>
      </c>
      <c r="U41" s="2">
        <v>-6.9790628115651912E-3</v>
      </c>
      <c r="V41" s="2">
        <v>-2.4765729585006852E-2</v>
      </c>
      <c r="W41" s="2">
        <v>-1.681537405627995E-2</v>
      </c>
      <c r="X41" s="2">
        <v>-1.9022687609075006E-2</v>
      </c>
      <c r="Y41" s="2">
        <v>-1.1207970112079822E-2</v>
      </c>
      <c r="Z41" s="2">
        <v>1.2774379273119869E-2</v>
      </c>
      <c r="AA41" s="2">
        <v>-2.4871202700302111E-3</v>
      </c>
      <c r="AB41" s="2">
        <v>-6.589492430988505E-3</v>
      </c>
      <c r="AC41" s="2">
        <v>-4.1054141269272107E-2</v>
      </c>
      <c r="AD41" s="2">
        <v>-3.7390166386222355E-4</v>
      </c>
      <c r="AE41" s="2">
        <v>-2.3564615672339723E-2</v>
      </c>
      <c r="AF41" s="2">
        <v>-2.7580923194790337E-2</v>
      </c>
    </row>
    <row r="42" spans="1:32" x14ac:dyDescent="0.25">
      <c r="A42" s="33" t="e">
        <f t="shared" si="7"/>
        <v>#N/A</v>
      </c>
      <c r="B42" t="s">
        <v>78</v>
      </c>
      <c r="C42" s="2"/>
      <c r="D42" s="2">
        <v>1.3309271373787518E-2</v>
      </c>
      <c r="E42" s="2">
        <v>7.3463935886021112E-3</v>
      </c>
      <c r="F42" s="2">
        <v>1.9889502762430938E-2</v>
      </c>
      <c r="G42" s="2">
        <v>6.9989165763813727E-2</v>
      </c>
      <c r="H42" s="2">
        <v>1.640340218712022E-2</v>
      </c>
      <c r="I42" s="2">
        <v>-1.4345487148834463E-2</v>
      </c>
      <c r="J42" s="2">
        <v>-4.4471396806146056E-3</v>
      </c>
      <c r="K42" s="2">
        <v>-3.7969543147208046E-2</v>
      </c>
      <c r="L42" s="2">
        <v>-6.7539046010976654E-3</v>
      </c>
      <c r="M42" s="2">
        <v>-6.3748406289840954E-3</v>
      </c>
      <c r="N42" s="2">
        <v>5.1325919589391544E-3</v>
      </c>
      <c r="O42" s="2">
        <v>-1.0212765957446591E-2</v>
      </c>
      <c r="P42" s="2">
        <v>-8.1685296646606294E-3</v>
      </c>
      <c r="Q42" s="2">
        <v>2.1673168617269091E-4</v>
      </c>
      <c r="R42" s="2">
        <v>2.5135427952329408E-2</v>
      </c>
      <c r="S42" s="2">
        <v>9.5328683153667285E-2</v>
      </c>
      <c r="T42" s="2">
        <v>-9.0698571979931954E-3</v>
      </c>
      <c r="U42" s="2">
        <v>-7.594936708860826E-3</v>
      </c>
      <c r="V42" s="2">
        <v>2.6883830455259008E-2</v>
      </c>
      <c r="W42" s="2">
        <v>-7.8348939422890358E-3</v>
      </c>
      <c r="X42" s="2">
        <v>-4.2180277349769098E-2</v>
      </c>
      <c r="Y42" s="2">
        <v>-1.1260808365171803E-2</v>
      </c>
      <c r="Z42" s="2">
        <v>-1.8913971934106301E-2</v>
      </c>
      <c r="AA42" s="2">
        <v>-1.6998341625207216E-2</v>
      </c>
      <c r="AB42" s="2">
        <v>1.8979333614509365E-3</v>
      </c>
      <c r="AC42" s="2">
        <v>7.0932435276783751E-2</v>
      </c>
      <c r="AD42" s="2">
        <v>0</v>
      </c>
      <c r="AE42" s="2">
        <v>4.0094339622641577E-2</v>
      </c>
      <c r="AF42" s="2">
        <v>-2.3053665910808745E-2</v>
      </c>
    </row>
    <row r="43" spans="1:32" x14ac:dyDescent="0.25">
      <c r="A43" s="33" t="e">
        <f t="shared" si="7"/>
        <v>#N/A</v>
      </c>
      <c r="B43" t="s">
        <v>82</v>
      </c>
      <c r="C43" s="2"/>
      <c r="D43" s="2">
        <v>-0.1547516508756818</v>
      </c>
      <c r="E43" s="2">
        <v>-0.16796875000000003</v>
      </c>
      <c r="F43" s="2">
        <v>-6.7973055725658094E-2</v>
      </c>
      <c r="G43" s="2">
        <v>-3.4603591765221473E-2</v>
      </c>
      <c r="H43" s="2">
        <v>2.7223230490018152E-2</v>
      </c>
      <c r="I43" s="2">
        <v>5.1899293286219339E-2</v>
      </c>
      <c r="J43" s="2">
        <v>5.6896913709846716E-2</v>
      </c>
      <c r="K43" s="2">
        <v>-7.9459674215336274E-3</v>
      </c>
      <c r="L43" s="2">
        <v>-4.4052863436122554E-3</v>
      </c>
      <c r="M43" s="2">
        <v>0.14662107803700714</v>
      </c>
      <c r="N43" s="2">
        <v>7.3846693562532734E-2</v>
      </c>
      <c r="O43" s="2">
        <v>-5.2433845148644048E-2</v>
      </c>
      <c r="P43" s="2">
        <v>-7.4125150836062942E-2</v>
      </c>
      <c r="Q43" s="2">
        <v>-2.6438279649972002E-2</v>
      </c>
      <c r="R43" s="2">
        <v>-2.2566456301395921E-2</v>
      </c>
      <c r="S43" s="2">
        <v>-1.1739385638819236E-3</v>
      </c>
      <c r="T43" s="2">
        <v>5.4848188050930516E-2</v>
      </c>
      <c r="U43" s="2">
        <v>4.1968430826369536E-2</v>
      </c>
      <c r="V43" s="2">
        <v>-3.3862056674389186E-3</v>
      </c>
      <c r="W43" s="2">
        <v>2.449928469241772E-2</v>
      </c>
      <c r="X43" s="2">
        <v>2.8975388374934533E-2</v>
      </c>
      <c r="Y43" s="2">
        <v>4.0033927056827713E-2</v>
      </c>
      <c r="Z43" s="2">
        <v>-8.6282824987766918E-2</v>
      </c>
      <c r="AA43" s="2">
        <v>-0.1274544805426634</v>
      </c>
      <c r="AB43" s="2">
        <v>-3.4165302782324034E-2</v>
      </c>
      <c r="AC43" s="2">
        <v>-5.7191273035374218E-3</v>
      </c>
      <c r="AD43" s="2">
        <v>4.2607584149976276E-4</v>
      </c>
      <c r="AE43" s="2">
        <v>1.8100511073253892E-2</v>
      </c>
      <c r="AF43" s="2">
        <v>3.4720769713449055E-2</v>
      </c>
    </row>
    <row r="44" spans="1:32" x14ac:dyDescent="0.25">
      <c r="A44" s="33" t="e">
        <f t="shared" si="7"/>
        <v>#N/A</v>
      </c>
      <c r="B44" t="s">
        <v>84</v>
      </c>
      <c r="C44" s="2"/>
      <c r="D44" s="2">
        <v>1.6625103906898473E-3</v>
      </c>
      <c r="E44" s="2">
        <v>-1.0580912863070469E-2</v>
      </c>
      <c r="F44" s="2">
        <v>6.7100020968756313E-3</v>
      </c>
      <c r="G44" s="2">
        <v>1.1455946677775523E-2</v>
      </c>
      <c r="H44" s="2">
        <v>2.224052718286652E-2</v>
      </c>
      <c r="I44" s="2">
        <v>4.0290088638194428E-3</v>
      </c>
      <c r="J44" s="2">
        <v>-1.2239165329052958E-2</v>
      </c>
      <c r="K44" s="2">
        <v>-1.8281535648993477E-3</v>
      </c>
      <c r="L44" s="2">
        <v>2.2385022385021111E-3</v>
      </c>
      <c r="M44" s="2">
        <v>6.4974619289339874E-3</v>
      </c>
      <c r="N44" s="2">
        <v>2.0173492031469502E-4</v>
      </c>
      <c r="O44" s="2">
        <v>-5.4457442517142638E-3</v>
      </c>
      <c r="P44" s="2">
        <v>-2.8391806935712952E-3</v>
      </c>
      <c r="Q44" s="2">
        <v>-1.8303843807200204E-3</v>
      </c>
      <c r="R44" s="2">
        <v>1.4262428687857487E-3</v>
      </c>
      <c r="S44" s="2">
        <v>4.6795523906408027E-3</v>
      </c>
      <c r="T44" s="2">
        <v>0</v>
      </c>
      <c r="U44" s="2">
        <v>-2.6326447954637738E-3</v>
      </c>
      <c r="V44" s="2">
        <v>4.0609137055852568E-4</v>
      </c>
      <c r="W44" s="2">
        <v>1.8063730464785883E-2</v>
      </c>
      <c r="X44" s="2">
        <v>1.1363636363636227E-2</v>
      </c>
      <c r="Y44" s="2">
        <v>4.1395623891189656E-3</v>
      </c>
      <c r="Z44" s="2">
        <v>4.5151158225362276E-3</v>
      </c>
      <c r="AA44" s="2">
        <v>1.7588430721126327E-3</v>
      </c>
      <c r="AB44" s="2">
        <v>3.9016777214183253E-4</v>
      </c>
      <c r="AC44" s="2">
        <v>1.5600624024963438E-3</v>
      </c>
      <c r="AD44" s="2">
        <v>3.8940809968828535E-4</v>
      </c>
      <c r="AE44" s="2">
        <v>1.3818606461658445E-2</v>
      </c>
      <c r="AF44" s="2">
        <v>1.2478402764445931E-2</v>
      </c>
    </row>
    <row r="45" spans="1:32" x14ac:dyDescent="0.25">
      <c r="A45" s="33" t="e">
        <f t="shared" si="7"/>
        <v>#N/A</v>
      </c>
      <c r="B45" t="s">
        <v>86</v>
      </c>
      <c r="C45" s="2"/>
      <c r="D45" s="2">
        <v>-6.0553633217992108E-3</v>
      </c>
      <c r="E45" s="2">
        <v>-1.5085581665216015E-2</v>
      </c>
      <c r="F45" s="2">
        <v>-2.6509572901326482E-3</v>
      </c>
      <c r="G45" s="2">
        <v>4.4300059066745426E-3</v>
      </c>
      <c r="H45" s="2">
        <v>1.4407527197883034E-2</v>
      </c>
      <c r="I45" s="2">
        <v>2.318840579710013E-3</v>
      </c>
      <c r="J45" s="2">
        <v>-4.9161364950837082E-3</v>
      </c>
      <c r="K45" s="2">
        <v>3.2548677709968041E-2</v>
      </c>
      <c r="L45" s="2">
        <v>1.1539544047284049E-2</v>
      </c>
      <c r="M45" s="2">
        <v>1.8363939899832957E-2</v>
      </c>
      <c r="N45" s="2">
        <v>4.3715846994536525E-3</v>
      </c>
      <c r="O45" s="2">
        <v>-1.1153427638737818E-2</v>
      </c>
      <c r="P45" s="2">
        <v>-7.977991746905104E-3</v>
      </c>
      <c r="Q45" s="2">
        <v>-8.3194675540765387E-3</v>
      </c>
      <c r="R45" s="2">
        <v>-1.1185682326622481E-3</v>
      </c>
      <c r="S45" s="2">
        <v>1.3997760358343064E-3</v>
      </c>
      <c r="T45" s="2">
        <v>5.8708414872798674E-3</v>
      </c>
      <c r="U45" s="2">
        <v>1.6675931072817284E-3</v>
      </c>
      <c r="V45" s="2">
        <v>8.3240843507221304E-4</v>
      </c>
      <c r="W45" s="2">
        <v>7.2082062655947398E-3</v>
      </c>
      <c r="X45" s="2">
        <v>6.0556014313238645E-3</v>
      </c>
      <c r="Y45" s="2">
        <v>2.4623803009575693E-3</v>
      </c>
      <c r="Z45" s="2">
        <v>1.6375545851528618E-3</v>
      </c>
      <c r="AA45" s="2">
        <v>-2.452316076294371E-3</v>
      </c>
      <c r="AB45" s="2">
        <v>-5.4629882545750592E-3</v>
      </c>
      <c r="AC45" s="2">
        <v>-8.5141444658061987E-3</v>
      </c>
      <c r="AD45" s="2">
        <v>0</v>
      </c>
      <c r="AE45" s="2">
        <v>1.0526315789473559E-2</v>
      </c>
      <c r="AF45" s="2">
        <v>1.0964912280701952E-2</v>
      </c>
    </row>
    <row r="46" spans="1:32" x14ac:dyDescent="0.25">
      <c r="A46" s="33" t="e">
        <f t="shared" si="7"/>
        <v>#N/A</v>
      </c>
      <c r="B46" t="s">
        <v>87</v>
      </c>
      <c r="C46" s="2"/>
      <c r="D46" s="2">
        <v>6.3472563472565108E-3</v>
      </c>
      <c r="E46" s="2">
        <v>4.0691759918614164E-4</v>
      </c>
      <c r="F46" s="2">
        <v>-3.2540166768354572E-3</v>
      </c>
      <c r="G46" s="2">
        <v>2.0403999183840611E-3</v>
      </c>
      <c r="H46" s="2">
        <v>2.4434941967012652E-2</v>
      </c>
      <c r="I46" s="2">
        <v>1.7889087656530196E-3</v>
      </c>
      <c r="J46" s="2">
        <v>-9.9206349206343563E-4</v>
      </c>
      <c r="K46" s="2">
        <v>2.5819265143992281E-3</v>
      </c>
      <c r="L46" s="2">
        <v>5.9429477020598838E-4</v>
      </c>
      <c r="M46" s="2">
        <v>3.1676895664224792E-3</v>
      </c>
      <c r="N46" s="2">
        <v>1.7761989342805385E-3</v>
      </c>
      <c r="O46" s="2">
        <v>5.5161544523246878E-3</v>
      </c>
      <c r="P46" s="2">
        <v>9.4043887147336764E-3</v>
      </c>
      <c r="Q46" s="2">
        <v>1.300465838509309E-2</v>
      </c>
      <c r="R46" s="2">
        <v>1.7053075301781798E-2</v>
      </c>
      <c r="S46" s="2">
        <v>2.1477015825169782E-2</v>
      </c>
      <c r="T46" s="2">
        <v>1.9734415344891003E-2</v>
      </c>
      <c r="U46" s="2">
        <v>1.1937059142702209E-2</v>
      </c>
      <c r="V46" s="2">
        <v>1.5370866845397717E-2</v>
      </c>
      <c r="W46" s="2">
        <v>1.9010737546206621E-2</v>
      </c>
      <c r="X46" s="2">
        <v>1.9174296078770022E-2</v>
      </c>
      <c r="Y46" s="2">
        <v>1.3389830508474539E-2</v>
      </c>
      <c r="Z46" s="2">
        <v>1.4216424151196044E-2</v>
      </c>
      <c r="AA46" s="2">
        <v>1.1213720316622615E-2</v>
      </c>
      <c r="AB46" s="2">
        <v>1.6307893020221832E-2</v>
      </c>
      <c r="AC46" s="2">
        <v>5.4557124518613241E-3</v>
      </c>
      <c r="AD46" s="2">
        <v>0</v>
      </c>
      <c r="AE46" s="2">
        <v>1.5320778806256066E-2</v>
      </c>
      <c r="AF46" s="2">
        <v>2.310594152782133E-2</v>
      </c>
    </row>
    <row r="47" spans="1:32" x14ac:dyDescent="0.25">
      <c r="A47" s="33" t="e">
        <f t="shared" si="7"/>
        <v>#N/A</v>
      </c>
      <c r="B47" t="s">
        <v>88</v>
      </c>
      <c r="C47" s="2"/>
      <c r="D47" s="2">
        <v>1.7716976900650511E-2</v>
      </c>
      <c r="E47" s="2">
        <v>2.4019391802556141E-2</v>
      </c>
      <c r="F47" s="2">
        <v>6.6709705186139634E-3</v>
      </c>
      <c r="G47" s="2">
        <v>6.8405301410860934E-3</v>
      </c>
      <c r="H47" s="2">
        <v>1.0403397027600802E-2</v>
      </c>
      <c r="I47" s="2">
        <v>3.9924353855853387E-3</v>
      </c>
      <c r="J47" s="2">
        <v>5.6508999581413389E-3</v>
      </c>
      <c r="K47" s="2">
        <v>9.5733610822062009E-3</v>
      </c>
      <c r="L47" s="2">
        <v>1.4430014430013608E-3</v>
      </c>
      <c r="M47" s="2">
        <v>3.2935364347467977E-3</v>
      </c>
      <c r="N47" s="2">
        <v>3.0775543701272055E-3</v>
      </c>
      <c r="O47" s="2">
        <v>3.0681120883616279E-3</v>
      </c>
      <c r="P47" s="2">
        <v>6.117455138661969E-4</v>
      </c>
      <c r="Q47" s="2">
        <v>2.4454860403505547E-3</v>
      </c>
      <c r="R47" s="2">
        <v>3.4559869892254293E-3</v>
      </c>
      <c r="S47" s="2">
        <v>5.0648298217180476E-3</v>
      </c>
      <c r="T47" s="2">
        <v>5.4424511187260976E-3</v>
      </c>
      <c r="U47" s="2">
        <v>4.8115477145147323E-3</v>
      </c>
      <c r="V47" s="2">
        <v>2.9928172386274646E-3</v>
      </c>
      <c r="W47" s="2">
        <v>2.7849612094687096E-3</v>
      </c>
      <c r="X47" s="2">
        <v>3.5707200952191688E-3</v>
      </c>
      <c r="Y47" s="2">
        <v>2.767345325163087E-3</v>
      </c>
      <c r="Z47" s="2">
        <v>3.1539522964715047E-3</v>
      </c>
      <c r="AA47" s="2">
        <v>3.3405384161919317E-3</v>
      </c>
      <c r="AB47" s="2">
        <v>2.7418723070895424E-3</v>
      </c>
      <c r="AC47" s="2">
        <v>5.4687500000001887E-3</v>
      </c>
      <c r="AD47" s="2">
        <v>0</v>
      </c>
      <c r="AE47" s="2">
        <v>3.4965034965031318E-3</v>
      </c>
      <c r="AF47" s="2">
        <v>2.7100271002711792E-3</v>
      </c>
    </row>
    <row r="48" spans="1:32" x14ac:dyDescent="0.25">
      <c r="A48" s="33" t="e">
        <f t="shared" si="7"/>
        <v>#N/A</v>
      </c>
      <c r="B48" t="s">
        <v>89</v>
      </c>
      <c r="C48" s="2"/>
      <c r="D48" s="2">
        <v>5.2578361981798528E-3</v>
      </c>
      <c r="E48" s="2">
        <v>1.1265338966002863E-2</v>
      </c>
      <c r="F48" s="2">
        <v>4.3763676148795708E-3</v>
      </c>
      <c r="G48" s="2">
        <v>4.3572984749456244E-3</v>
      </c>
      <c r="H48" s="2">
        <v>8.2823900611319612E-3</v>
      </c>
      <c r="I48" s="2">
        <v>1.1930373557598434E-2</v>
      </c>
      <c r="J48" s="2">
        <v>-1.3529184383456617E-3</v>
      </c>
      <c r="K48" s="2">
        <v>8.1285078382038536E-3</v>
      </c>
      <c r="L48" s="2">
        <v>1.7277788443078304E-3</v>
      </c>
      <c r="M48" s="2">
        <v>4.5994633959373704E-3</v>
      </c>
      <c r="N48" s="2">
        <v>4.5784051888591156E-3</v>
      </c>
      <c r="O48" s="2">
        <v>6.0767185719711138E-3</v>
      </c>
      <c r="P48" s="2">
        <v>4.3412608531522082E-3</v>
      </c>
      <c r="Q48" s="2">
        <v>4.1345611727118215E-3</v>
      </c>
      <c r="R48" s="2">
        <v>7.2992700729927647E-3</v>
      </c>
      <c r="S48" s="2">
        <v>9.1044221479003665E-3</v>
      </c>
      <c r="T48" s="2">
        <v>8.654023200147281E-3</v>
      </c>
      <c r="U48" s="2">
        <v>7.849580138736786E-3</v>
      </c>
      <c r="V48" s="2">
        <v>7.0639376924470825E-3</v>
      </c>
      <c r="W48" s="2">
        <v>5.7553956834532167E-3</v>
      </c>
      <c r="X48" s="2">
        <v>6.0801144492131209E-3</v>
      </c>
      <c r="Y48" s="2">
        <v>4.9768929968005892E-3</v>
      </c>
      <c r="Z48" s="2">
        <v>6.0134418111071402E-3</v>
      </c>
      <c r="AA48" s="2">
        <v>4.3952180028128396E-3</v>
      </c>
      <c r="AB48" s="2">
        <v>4.7260633642571374E-3</v>
      </c>
      <c r="AC48" s="2">
        <v>9.5818815331009458E-3</v>
      </c>
      <c r="AD48" s="2">
        <v>0</v>
      </c>
      <c r="AE48" s="2">
        <v>2.5884383088869718E-3</v>
      </c>
      <c r="AF48" s="2">
        <v>3.4423407917384802E-3</v>
      </c>
    </row>
    <row r="49" spans="1:32" x14ac:dyDescent="0.25">
      <c r="A49" s="33" t="e">
        <f t="shared" si="7"/>
        <v>#N/A</v>
      </c>
      <c r="B49" t="s">
        <v>90</v>
      </c>
      <c r="C49" s="2"/>
      <c r="D49" s="2">
        <v>-2.5960957939223081E-2</v>
      </c>
      <c r="E49" s="2">
        <v>-2.3966942148760377E-2</v>
      </c>
      <c r="F49" s="2">
        <v>-1.6934801016087098E-3</v>
      </c>
      <c r="G49" s="2">
        <v>8.4817642069549247E-3</v>
      </c>
      <c r="H49" s="2">
        <v>1.6820857863750992E-2</v>
      </c>
      <c r="I49" s="2">
        <v>1.1786600496277952E-2</v>
      </c>
      <c r="J49" s="2">
        <v>8.7880645820560214E-3</v>
      </c>
      <c r="K49" s="2">
        <v>-1.0129659643435406E-3</v>
      </c>
      <c r="L49" s="2">
        <v>6.0839586290809759E-4</v>
      </c>
      <c r="M49" s="2">
        <v>2.2902310498581182E-2</v>
      </c>
      <c r="N49" s="2">
        <v>1.1888250445809392E-2</v>
      </c>
      <c r="O49" s="2">
        <v>-8.8114352849030745E-3</v>
      </c>
      <c r="P49" s="2">
        <v>-1.0667720268668242E-2</v>
      </c>
      <c r="Q49" s="2">
        <v>-9.9840255591082672E-4</v>
      </c>
      <c r="R49" s="2">
        <v>1.2392564461323355E-2</v>
      </c>
      <c r="S49" s="2">
        <v>1.4610069101678025E-2</v>
      </c>
      <c r="T49" s="2">
        <v>1.4983459817085182E-2</v>
      </c>
      <c r="U49" s="2">
        <v>9.5858895705520919E-3</v>
      </c>
      <c r="V49" s="2">
        <v>5.6969236612226164E-4</v>
      </c>
      <c r="W49" s="2">
        <v>7.0222053520593011E-3</v>
      </c>
      <c r="X49" s="2">
        <v>8.4809649453448915E-3</v>
      </c>
      <c r="Y49" s="2">
        <v>9.7178097551858713E-3</v>
      </c>
      <c r="Z49" s="2">
        <v>-7.5883768276882061E-3</v>
      </c>
      <c r="AA49" s="2">
        <v>-1.3614323013801E-2</v>
      </c>
      <c r="AB49" s="2">
        <v>4.3486481376444038E-3</v>
      </c>
      <c r="AC49" s="2">
        <v>2.4472891566263665E-3</v>
      </c>
      <c r="AD49" s="2">
        <v>1.8779342723003627E-4</v>
      </c>
      <c r="AE49" s="2">
        <v>5.4449868569282868E-3</v>
      </c>
      <c r="AF49" s="2">
        <v>6.5359477124182479E-3</v>
      </c>
    </row>
    <row r="50" spans="1:32" x14ac:dyDescent="0.25">
      <c r="A50" s="33" t="e">
        <f t="shared" si="7"/>
        <v>#N/A</v>
      </c>
      <c r="B50" t="s">
        <v>91</v>
      </c>
      <c r="C50" s="2"/>
      <c r="D50" s="2">
        <v>6.616595135908369E-3</v>
      </c>
      <c r="E50" s="2">
        <v>9.2378752886836842E-3</v>
      </c>
      <c r="F50" s="2">
        <v>-7.0410139060020642E-4</v>
      </c>
      <c r="G50" s="2">
        <v>4.0514356174034781E-3</v>
      </c>
      <c r="H50" s="2">
        <v>1.7017543859649202E-2</v>
      </c>
      <c r="I50" s="2">
        <v>-7.2451267897188486E-3</v>
      </c>
      <c r="J50" s="2">
        <v>1.5638575152040813E-3</v>
      </c>
      <c r="K50" s="2">
        <v>4.1637751561414797E-3</v>
      </c>
      <c r="L50" s="2">
        <v>5.1831375259168673E-4</v>
      </c>
      <c r="M50" s="2">
        <v>3.1082714557071024E-3</v>
      </c>
      <c r="N50" s="2">
        <v>6.8858667584778327E-4</v>
      </c>
      <c r="O50" s="2">
        <v>-2.2363667641491936E-3</v>
      </c>
      <c r="P50" s="2">
        <v>-1.2068965517242163E-3</v>
      </c>
      <c r="Q50" s="2">
        <v>2.5893319523562922E-3</v>
      </c>
      <c r="R50" s="2">
        <v>4.648760330578542E-3</v>
      </c>
      <c r="S50" s="2">
        <v>5.1413881748069059E-4</v>
      </c>
      <c r="T50" s="2">
        <v>1.1990407673861691E-3</v>
      </c>
      <c r="U50" s="2">
        <v>1.7108639863129909E-3</v>
      </c>
      <c r="V50" s="2">
        <v>1.5371477369770011E-3</v>
      </c>
      <c r="W50" s="2">
        <v>1.7053206002727544E-3</v>
      </c>
      <c r="X50" s="2">
        <v>4.5965270684373552E-3</v>
      </c>
      <c r="Y50" s="2">
        <v>2.0335536349770067E-3</v>
      </c>
      <c r="Z50" s="2">
        <v>2.8750211398613033E-3</v>
      </c>
      <c r="AA50" s="2">
        <v>2.192242833052296E-3</v>
      </c>
      <c r="AB50" s="2">
        <v>4.038364462392645E-3</v>
      </c>
      <c r="AC50" s="2">
        <v>6.3683593095358471E-3</v>
      </c>
      <c r="AD50" s="2">
        <v>1.6652789342228074E-4</v>
      </c>
      <c r="AE50" s="2">
        <v>4.995004995004995E-3</v>
      </c>
      <c r="AF50" s="2">
        <v>2.4850894632206756E-3</v>
      </c>
    </row>
    <row r="51" spans="1:32" x14ac:dyDescent="0.25">
      <c r="A51" s="33" t="e">
        <f t="shared" si="7"/>
        <v>#N/A</v>
      </c>
      <c r="B51" t="s">
        <v>92</v>
      </c>
      <c r="C51" s="2"/>
      <c r="D51" s="2">
        <v>3.4490191851692053E-3</v>
      </c>
      <c r="E51" s="2">
        <v>1.0741138560687556E-2</v>
      </c>
      <c r="F51" s="2">
        <v>4.2507970244420219E-3</v>
      </c>
      <c r="G51" s="2">
        <v>6.13756613756615E-3</v>
      </c>
      <c r="H51" s="2">
        <v>1.7248632730332447E-2</v>
      </c>
      <c r="I51" s="2">
        <v>2.4813895781636303E-3</v>
      </c>
      <c r="J51" s="2">
        <v>3.9191419141915481E-3</v>
      </c>
      <c r="K51" s="2">
        <v>9.4514074378467105E-3</v>
      </c>
      <c r="L51" s="2">
        <v>1.6283329940972003E-3</v>
      </c>
      <c r="M51" s="2">
        <v>6.7059540743750921E-3</v>
      </c>
      <c r="N51" s="2">
        <v>9.0835688332660484E-3</v>
      </c>
      <c r="O51" s="2">
        <v>7.4014802960593032E-3</v>
      </c>
      <c r="P51" s="2">
        <v>8.3399523431295017E-3</v>
      </c>
      <c r="Q51" s="2">
        <v>5.513981882630979E-3</v>
      </c>
      <c r="R51" s="2">
        <v>7.8339208773990261E-3</v>
      </c>
      <c r="S51" s="2">
        <v>1.010493587252227E-2</v>
      </c>
      <c r="T51" s="2">
        <v>9.8114659484419709E-3</v>
      </c>
      <c r="U51" s="2">
        <v>8.5730615355304133E-3</v>
      </c>
      <c r="V51" s="2">
        <v>6.8001511144691459E-3</v>
      </c>
      <c r="W51" s="2">
        <v>6.3789868667917023E-3</v>
      </c>
      <c r="X51" s="2">
        <v>7.8299776286352204E-3</v>
      </c>
      <c r="Y51" s="2">
        <v>5.3644099149095298E-3</v>
      </c>
      <c r="Z51" s="2">
        <v>6.439742410303693E-3</v>
      </c>
      <c r="AA51" s="2">
        <v>5.1188299817183291E-3</v>
      </c>
      <c r="AB51" s="2">
        <v>5.092761004001631E-3</v>
      </c>
      <c r="AC51" s="2">
        <v>7.0575461454939351E-3</v>
      </c>
      <c r="AD51" s="2">
        <v>-3.5938903863445447E-4</v>
      </c>
      <c r="AE51" s="2">
        <v>4.1344598238359787E-3</v>
      </c>
      <c r="AF51" s="2">
        <v>2.1482277121376704E-3</v>
      </c>
    </row>
    <row r="52" spans="1:32" x14ac:dyDescent="0.25">
      <c r="A52" s="33" t="e">
        <f t="shared" si="7"/>
        <v>#N/A</v>
      </c>
      <c r="B52" t="s">
        <v>93</v>
      </c>
      <c r="C52" s="2"/>
      <c r="D52" s="2">
        <v>4.8420567212356016E-3</v>
      </c>
      <c r="E52" s="2">
        <v>8.4901330885728456E-3</v>
      </c>
      <c r="F52" s="2">
        <v>3.4129692832764505E-3</v>
      </c>
      <c r="G52" s="2">
        <v>4.3083900226756856E-3</v>
      </c>
      <c r="H52" s="2">
        <v>2.2578460149017904E-2</v>
      </c>
      <c r="I52" s="2">
        <v>-1.545595054095739E-3</v>
      </c>
      <c r="J52" s="2">
        <v>8.6245024325518546E-3</v>
      </c>
      <c r="K52" s="2">
        <v>1.1839508879631734E-2</v>
      </c>
      <c r="L52" s="2">
        <v>2.1668472372696492E-3</v>
      </c>
      <c r="M52" s="2">
        <v>6.4864864864866709E-3</v>
      </c>
      <c r="N52" s="2">
        <v>6.874328678839932E-3</v>
      </c>
      <c r="O52" s="2">
        <v>8.5342436526561604E-3</v>
      </c>
      <c r="P52" s="2">
        <v>1.2269938650306773E-2</v>
      </c>
      <c r="Q52" s="2">
        <v>1.1076280041797367E-2</v>
      </c>
      <c r="R52" s="2">
        <v>1.3642000826787857E-2</v>
      </c>
      <c r="S52" s="2">
        <v>1.1623164763458435E-2</v>
      </c>
      <c r="T52" s="2">
        <v>1.0884902237452023E-2</v>
      </c>
      <c r="U52" s="2">
        <v>8.9730807577268201E-3</v>
      </c>
      <c r="V52" s="2">
        <v>8.4980237154150436E-3</v>
      </c>
      <c r="W52" s="2">
        <v>8.0344895159710425E-3</v>
      </c>
      <c r="X52" s="2">
        <v>9.5256609642301263E-3</v>
      </c>
      <c r="Y52" s="2">
        <v>5.7770075101097633E-3</v>
      </c>
      <c r="Z52" s="2">
        <v>4.9779820026804953E-3</v>
      </c>
      <c r="AA52" s="2">
        <v>4.762811964183546E-3</v>
      </c>
      <c r="AB52" s="2">
        <v>3.4129692832765802E-3</v>
      </c>
      <c r="AC52" s="2">
        <v>6.6137566137567209E-3</v>
      </c>
      <c r="AD52" s="2">
        <v>0</v>
      </c>
      <c r="AE52" s="2">
        <v>2.8158438145297537E-3</v>
      </c>
      <c r="AF52" s="2">
        <v>2.8079371022085909E-3</v>
      </c>
    </row>
    <row r="53" spans="1:32" x14ac:dyDescent="0.25">
      <c r="A53" s="33" t="e">
        <f t="shared" si="7"/>
        <v>#N/A</v>
      </c>
      <c r="B53" t="s">
        <v>94</v>
      </c>
      <c r="C53" s="2"/>
      <c r="D53" s="2">
        <v>3.6996735582154271E-3</v>
      </c>
      <c r="E53" s="2">
        <v>1.0407632263660167E-2</v>
      </c>
      <c r="F53" s="2">
        <v>4.0772532188840709E-3</v>
      </c>
      <c r="G53" s="2">
        <v>5.7704637743107865E-3</v>
      </c>
      <c r="H53" s="2">
        <v>1.7849553761155861E-2</v>
      </c>
      <c r="I53" s="2">
        <v>2.2964509394572501E-3</v>
      </c>
      <c r="J53" s="2">
        <v>4.3740887315141972E-3</v>
      </c>
      <c r="K53" s="2">
        <v>9.5396101202822065E-3</v>
      </c>
      <c r="L53" s="2">
        <v>2.0542317173377739E-3</v>
      </c>
      <c r="M53" s="2">
        <v>6.355063550635494E-3</v>
      </c>
      <c r="N53" s="2">
        <v>8.9631289468321863E-3</v>
      </c>
      <c r="O53" s="2">
        <v>7.2683222289520819E-3</v>
      </c>
      <c r="P53" s="2">
        <v>9.0198436560432957E-3</v>
      </c>
      <c r="Q53" s="2">
        <v>6.5554231227653329E-3</v>
      </c>
      <c r="R53" s="2">
        <v>8.6836392342609144E-3</v>
      </c>
      <c r="S53" s="2">
        <v>9.9784777929955992E-3</v>
      </c>
      <c r="T53" s="2">
        <v>1.0073614877954037E-2</v>
      </c>
      <c r="U53" s="2">
        <v>8.4388185654008553E-3</v>
      </c>
      <c r="V53" s="2">
        <v>7.2270825408899866E-3</v>
      </c>
      <c r="W53" s="2">
        <v>6.6087613293054053E-3</v>
      </c>
      <c r="X53" s="2">
        <v>8.0660288876382019E-3</v>
      </c>
      <c r="Y53" s="2">
        <v>5.7685150725716311E-3</v>
      </c>
      <c r="Z53" s="2">
        <v>5.9204440333024766E-3</v>
      </c>
      <c r="AA53" s="2">
        <v>5.1498988412727823E-3</v>
      </c>
      <c r="AB53" s="2">
        <v>4.5745654162855053E-3</v>
      </c>
      <c r="AC53" s="2">
        <v>7.1038251366119286E-3</v>
      </c>
      <c r="AD53" s="2">
        <v>0</v>
      </c>
      <c r="AE53" s="2">
        <v>3.4364261168384471E-3</v>
      </c>
      <c r="AF53" s="2">
        <v>2.7036770007209808E-3</v>
      </c>
    </row>
    <row r="54" spans="1:32" x14ac:dyDescent="0.25">
      <c r="A54" s="33" t="e">
        <f t="shared" si="7"/>
        <v>#N/A</v>
      </c>
      <c r="B54" t="s">
        <v>95</v>
      </c>
      <c r="C54" s="2"/>
      <c r="D54" s="2">
        <v>-4.4191919191920266E-3</v>
      </c>
      <c r="E54" s="2">
        <v>1.331642358909336E-2</v>
      </c>
      <c r="F54" s="2">
        <v>6.2578222778469526E-4</v>
      </c>
      <c r="G54" s="2">
        <v>9.3808630393996239E-3</v>
      </c>
      <c r="H54" s="2">
        <v>1.2391573729862988E-3</v>
      </c>
      <c r="I54" s="2">
        <v>-6.8069306930692722E-3</v>
      </c>
      <c r="J54" s="2">
        <v>6.2305295950155761E-3</v>
      </c>
      <c r="K54" s="2">
        <v>3.7151702786377356E-3</v>
      </c>
      <c r="L54" s="2">
        <v>0</v>
      </c>
      <c r="M54" s="2">
        <v>9.2535471930906849E-3</v>
      </c>
      <c r="N54" s="2">
        <v>3.6674816625916523E-3</v>
      </c>
      <c r="O54" s="2">
        <v>-4.8721071863579964E-3</v>
      </c>
      <c r="P54" s="2">
        <v>6.7319461444308093E-3</v>
      </c>
      <c r="Q54" s="2">
        <v>6.0790273556231003E-3</v>
      </c>
      <c r="R54" s="2">
        <v>-1.2084592145014418E-3</v>
      </c>
      <c r="S54" s="2">
        <v>1.0284331518451231E-2</v>
      </c>
      <c r="T54" s="2">
        <v>2.9940119760479044E-3</v>
      </c>
      <c r="U54" s="2">
        <v>-4.1791044776118723E-3</v>
      </c>
      <c r="V54" s="2">
        <v>5.9952038369304557E-3</v>
      </c>
      <c r="W54" s="2">
        <v>7.1513706793801465E-3</v>
      </c>
      <c r="X54" s="2">
        <v>2.9585798816568047E-3</v>
      </c>
      <c r="Y54" s="2">
        <v>1.0029498525073679E-2</v>
      </c>
      <c r="Z54" s="2">
        <v>3.5046728971963948E-3</v>
      </c>
      <c r="AA54" s="2">
        <v>-6.4027939464494921E-3</v>
      </c>
      <c r="AB54" s="2">
        <v>8.201523140011751E-3</v>
      </c>
      <c r="AC54" s="2">
        <v>8.1348053457292614E-3</v>
      </c>
      <c r="AD54" s="2">
        <v>0</v>
      </c>
      <c r="AE54" s="2">
        <v>9.7982708933716921E-3</v>
      </c>
      <c r="AF54" s="2">
        <v>2.2831050228310826E-3</v>
      </c>
    </row>
    <row r="55" spans="1:32" x14ac:dyDescent="0.25">
      <c r="A55" s="33" t="e">
        <f t="shared" si="7"/>
        <v>#N/A</v>
      </c>
      <c r="B55" t="s">
        <v>96</v>
      </c>
      <c r="C55" s="2"/>
      <c r="D55" s="2">
        <v>2.435064935064955E-2</v>
      </c>
      <c r="E55" s="2">
        <v>3.2148517093049486E-2</v>
      </c>
      <c r="F55" s="2">
        <v>2.2812020179864018E-2</v>
      </c>
      <c r="G55" s="2">
        <v>4.2890842805058682E-4</v>
      </c>
      <c r="H55" s="2">
        <v>2.1650589496248526E-2</v>
      </c>
      <c r="I55" s="2">
        <v>2.9374737725557936E-3</v>
      </c>
      <c r="J55" s="2">
        <v>6.0669456066943942E-3</v>
      </c>
      <c r="K55" s="2">
        <v>1.1436889166146868E-2</v>
      </c>
      <c r="L55" s="2">
        <v>1.4391447368420234E-3</v>
      </c>
      <c r="M55" s="2">
        <v>9.854239375898315E-3</v>
      </c>
      <c r="N55" s="2">
        <v>-2.2362268753812211E-3</v>
      </c>
      <c r="O55" s="2">
        <v>1.222493887530493E-3</v>
      </c>
      <c r="P55" s="2">
        <v>4.0700040700038389E-4</v>
      </c>
      <c r="Q55" s="2">
        <v>9.1537835638732419E-3</v>
      </c>
      <c r="R55" s="2">
        <v>9.0707518645434387E-3</v>
      </c>
      <c r="S55" s="2">
        <v>3.0763084298841344E-2</v>
      </c>
      <c r="T55" s="2">
        <v>1.4341085271318006E-2</v>
      </c>
      <c r="U55" s="2">
        <v>8.024455483377619E-3</v>
      </c>
      <c r="V55" s="2">
        <v>2.103866565580011E-2</v>
      </c>
      <c r="W55" s="2">
        <v>-4.4551698533507218E-3</v>
      </c>
      <c r="X55" s="2">
        <v>3.915718814096524E-3</v>
      </c>
      <c r="Y55" s="2">
        <v>5.3863298662702834E-3</v>
      </c>
      <c r="Z55" s="2">
        <v>4.0642896730095062E-3</v>
      </c>
      <c r="AA55" s="2">
        <v>3.4958601655936485E-3</v>
      </c>
      <c r="AB55" s="2">
        <v>-1.8335166850048557E-4</v>
      </c>
      <c r="AC55" s="2">
        <v>2.2006235099945298E-3</v>
      </c>
      <c r="AD55" s="2">
        <v>-1.0978956999084463E-3</v>
      </c>
      <c r="AE55" s="2">
        <v>-1.0991023997069997E-3</v>
      </c>
      <c r="AF55" s="2">
        <v>6.2350999449845273E-3</v>
      </c>
    </row>
    <row r="56" spans="1:32" x14ac:dyDescent="0.25">
      <c r="A56" s="33" t="e">
        <f t="shared" si="7"/>
        <v>#N/A</v>
      </c>
      <c r="B56" t="s">
        <v>97</v>
      </c>
      <c r="C56" s="2"/>
      <c r="D56" s="2">
        <v>2.2291573785109863E-3</v>
      </c>
      <c r="E56" s="2">
        <v>5.782918149466053E-3</v>
      </c>
      <c r="F56" s="2">
        <v>2.2114108801415933E-3</v>
      </c>
      <c r="G56" s="2">
        <v>3.7511032656663474E-3</v>
      </c>
      <c r="H56" s="2">
        <v>1.9125082435700193E-2</v>
      </c>
      <c r="I56" s="2">
        <v>4.3140638481447072E-4</v>
      </c>
      <c r="J56" s="2">
        <v>6.4683053040103496E-3</v>
      </c>
      <c r="K56" s="2">
        <v>1.0282776349614543E-2</v>
      </c>
      <c r="L56" s="2">
        <v>1.0602205258693205E-3</v>
      </c>
      <c r="M56" s="2">
        <v>5.5073077737767904E-3</v>
      </c>
      <c r="N56" s="2">
        <v>5.6878028228353307E-3</v>
      </c>
      <c r="O56" s="2">
        <v>5.6556346878927884E-3</v>
      </c>
      <c r="P56" s="2">
        <v>5.6238283690896312E-3</v>
      </c>
      <c r="Q56" s="2">
        <v>4.3496271748138709E-3</v>
      </c>
      <c r="R56" s="2">
        <v>6.1868426479684763E-3</v>
      </c>
      <c r="S56" s="2">
        <v>7.3785611805698937E-3</v>
      </c>
      <c r="T56" s="2">
        <v>7.527975584943794E-3</v>
      </c>
      <c r="U56" s="2">
        <v>7.2697899838451881E-3</v>
      </c>
      <c r="V56" s="2">
        <v>6.0144346431435444E-3</v>
      </c>
      <c r="W56" s="2">
        <v>6.3770426464726752E-3</v>
      </c>
      <c r="X56" s="2">
        <v>6.1386138613861267E-3</v>
      </c>
      <c r="Y56" s="2">
        <v>5.3139145837432233E-3</v>
      </c>
      <c r="Z56" s="2">
        <v>5.8731401722787787E-3</v>
      </c>
      <c r="AA56" s="2">
        <v>3.8925652004670529E-3</v>
      </c>
      <c r="AB56" s="2">
        <v>4.4590926715780436E-3</v>
      </c>
      <c r="AC56" s="2">
        <v>7.527504342791199E-3</v>
      </c>
      <c r="AD56" s="2">
        <v>0</v>
      </c>
      <c r="AE56" s="2">
        <v>2.4904214559385556E-3</v>
      </c>
      <c r="AF56" s="2">
        <v>3.4397095356391806E-3</v>
      </c>
    </row>
    <row r="57" spans="1:32" x14ac:dyDescent="0.25">
      <c r="A57" s="33" t="e">
        <f t="shared" si="7"/>
        <v>#N/A</v>
      </c>
      <c r="B57" t="s">
        <v>98</v>
      </c>
      <c r="C57" s="2"/>
      <c r="D57" s="2">
        <v>6.5566835871402468E-3</v>
      </c>
      <c r="E57" s="2">
        <v>1.2607690691321886E-2</v>
      </c>
      <c r="F57" s="2">
        <v>2.6976551151691457E-3</v>
      </c>
      <c r="G57" s="2">
        <v>3.9321192052979657E-3</v>
      </c>
      <c r="H57" s="2">
        <v>2.1026592455163917E-2</v>
      </c>
      <c r="I57" s="2">
        <v>3.0284675953965567E-3</v>
      </c>
      <c r="J57" s="2">
        <v>4.2270531400965495E-3</v>
      </c>
      <c r="K57" s="2">
        <v>6.8149929845663423E-3</v>
      </c>
      <c r="L57" s="2">
        <v>1.5926737009754218E-3</v>
      </c>
      <c r="M57" s="2">
        <v>3.9753528125620581E-3</v>
      </c>
      <c r="N57" s="2">
        <v>4.7515343496336345E-3</v>
      </c>
      <c r="O57" s="2">
        <v>4.334975369458218E-3</v>
      </c>
      <c r="P57" s="2">
        <v>4.9048459878360375E-3</v>
      </c>
      <c r="Q57" s="2">
        <v>4.8809058961343773E-3</v>
      </c>
      <c r="R57" s="2">
        <v>4.8571983679812376E-3</v>
      </c>
      <c r="S57" s="2">
        <v>5.4137664346481269E-3</v>
      </c>
      <c r="T57" s="2">
        <v>4.9999999999997156E-3</v>
      </c>
      <c r="U57" s="2">
        <v>3.6356678147725762E-3</v>
      </c>
      <c r="V57" s="2">
        <v>4.0038131553858545E-3</v>
      </c>
      <c r="W57" s="2">
        <v>4.1777440182302426E-3</v>
      </c>
      <c r="X57" s="2">
        <v>5.6732223903177012E-3</v>
      </c>
      <c r="Y57" s="2">
        <v>5.2651372696501057E-3</v>
      </c>
      <c r="Z57" s="2">
        <v>6.1728395061732876E-3</v>
      </c>
      <c r="AA57" s="2">
        <v>7.2504182933628234E-3</v>
      </c>
      <c r="AB57" s="2">
        <v>6.8290882244371456E-3</v>
      </c>
      <c r="AC57" s="2">
        <v>1.1549037580201774E-2</v>
      </c>
      <c r="AD57" s="2">
        <v>0</v>
      </c>
      <c r="AE57" s="2">
        <v>3.4432765494744055E-3</v>
      </c>
      <c r="AF57" s="2">
        <v>3.6120642947443946E-3</v>
      </c>
    </row>
    <row r="58" spans="1:32" x14ac:dyDescent="0.25">
      <c r="A58" s="33" t="e">
        <f t="shared" si="7"/>
        <v>#N/A</v>
      </c>
      <c r="B58" t="s">
        <v>99</v>
      </c>
      <c r="C58" s="2"/>
      <c r="D58" s="2">
        <v>8.7553241836250822E-3</v>
      </c>
      <c r="E58" s="2">
        <v>2.2284775979357394E-2</v>
      </c>
      <c r="F58" s="2">
        <v>7.8017439192289515E-3</v>
      </c>
      <c r="G58" s="2">
        <v>2.7322404371583147E-3</v>
      </c>
      <c r="H58" s="2">
        <v>1.5213442325159051E-2</v>
      </c>
      <c r="I58" s="2">
        <v>1.1854171326325106E-2</v>
      </c>
      <c r="J58" s="2">
        <v>1.6136162687887042E-2</v>
      </c>
      <c r="K58" s="2">
        <v>5.2207961714160296E-3</v>
      </c>
      <c r="L58" s="2">
        <v>4.3280675178530327E-4</v>
      </c>
      <c r="M58" s="2">
        <v>1.1031797534068712E-2</v>
      </c>
      <c r="N58" s="2">
        <v>-5.3487376979031737E-3</v>
      </c>
      <c r="O58" s="2">
        <v>5.8077005807700951E-3</v>
      </c>
      <c r="P58" s="2">
        <v>5.1325919589391544E-3</v>
      </c>
      <c r="Q58" s="2">
        <v>2.5531914893617384E-3</v>
      </c>
      <c r="R58" s="2">
        <v>6.1544991511035775E-3</v>
      </c>
      <c r="S58" s="2">
        <v>2.9529635098080514E-2</v>
      </c>
      <c r="T58" s="2">
        <v>2.8682646998565986E-3</v>
      </c>
      <c r="U58" s="2">
        <v>-1.1644535240040893E-2</v>
      </c>
      <c r="V58" s="2">
        <v>3.1004547333610697E-3</v>
      </c>
      <c r="W58" s="2">
        <v>1.8545229754791553E-3</v>
      </c>
      <c r="X58" s="2">
        <v>2.4681201151787982E-3</v>
      </c>
      <c r="Y58" s="2">
        <v>3.4878949528108095E-3</v>
      </c>
      <c r="Z58" s="2">
        <v>6.1337149867099353E-4</v>
      </c>
      <c r="AA58" s="2">
        <v>2.451982018798564E-3</v>
      </c>
      <c r="AB58" s="2">
        <v>1.4268242967795464E-3</v>
      </c>
      <c r="AC58" s="2">
        <v>3.4602076124567241E-3</v>
      </c>
      <c r="AD58" s="2">
        <v>0</v>
      </c>
      <c r="AE58" s="2">
        <v>2.0283975659228055E-3</v>
      </c>
      <c r="AF58" s="2">
        <v>1.8218623481782068E-3</v>
      </c>
    </row>
    <row r="59" spans="1:32" x14ac:dyDescent="0.25">
      <c r="A59" s="33" t="e">
        <f t="shared" si="7"/>
        <v>#N/A</v>
      </c>
      <c r="B59" t="s">
        <v>100</v>
      </c>
      <c r="C59" s="2"/>
      <c r="D59" s="2">
        <v>7.6113722856502733E-3</v>
      </c>
      <c r="E59" s="2">
        <v>1.2663852477227322E-2</v>
      </c>
      <c r="F59" s="2">
        <v>7.0206230802983514E-3</v>
      </c>
      <c r="G59" s="2">
        <v>4.1394335511982074E-3</v>
      </c>
      <c r="H59" s="2">
        <v>1.6272510305923193E-2</v>
      </c>
      <c r="I59" s="2">
        <v>-5.1238257899230335E-3</v>
      </c>
      <c r="J59" s="2">
        <v>2.5751072961371925E-3</v>
      </c>
      <c r="K59" s="2">
        <v>1.1130136986301468E-2</v>
      </c>
      <c r="L59" s="2">
        <v>4.0220152413208664E-3</v>
      </c>
      <c r="M59" s="2">
        <v>5.4817625975121711E-3</v>
      </c>
      <c r="N59" s="2">
        <v>7.1293772279303362E-3</v>
      </c>
      <c r="O59" s="2">
        <v>4.9968769519051302E-3</v>
      </c>
      <c r="P59" s="2">
        <v>3.7290242386575157E-3</v>
      </c>
      <c r="Q59" s="2">
        <v>5.3663570691434934E-3</v>
      </c>
      <c r="R59" s="2">
        <v>7.3906795319237341E-3</v>
      </c>
      <c r="S59" s="2">
        <v>6.3175056042386558E-3</v>
      </c>
      <c r="T59" s="2">
        <v>4.2527339003644513E-3</v>
      </c>
      <c r="U59" s="2">
        <v>4.0330711837065075E-3</v>
      </c>
      <c r="V59" s="2">
        <v>3.2134966860815311E-3</v>
      </c>
      <c r="W59" s="2">
        <v>3.6036036036035694E-3</v>
      </c>
      <c r="X59" s="2">
        <v>4.1891083183721641E-3</v>
      </c>
      <c r="Y59" s="2">
        <v>3.3770361541519151E-3</v>
      </c>
      <c r="Z59" s="2">
        <v>1.7818253811125496E-3</v>
      </c>
      <c r="AA59" s="2">
        <v>2.3715415019763186E-3</v>
      </c>
      <c r="AB59" s="2">
        <v>3.7460567823345082E-3</v>
      </c>
      <c r="AC59" s="2">
        <v>4.7142015321155646E-3</v>
      </c>
      <c r="AD59" s="2">
        <v>0</v>
      </c>
      <c r="AE59" s="2">
        <v>2.3460410557183415E-3</v>
      </c>
      <c r="AF59" s="2">
        <v>2.9256875365710941E-3</v>
      </c>
    </row>
    <row r="60" spans="1:32" x14ac:dyDescent="0.25">
      <c r="A60" s="33" t="e">
        <f t="shared" si="7"/>
        <v>#N/A</v>
      </c>
      <c r="B60" t="s">
        <v>101</v>
      </c>
      <c r="C60" s="2"/>
      <c r="D60" s="2">
        <v>-8.3472454090163296E-4</v>
      </c>
      <c r="E60" s="2">
        <v>1.879699248120372E-3</v>
      </c>
      <c r="F60" s="2">
        <v>3.9608088388575716E-3</v>
      </c>
      <c r="G60" s="2">
        <v>8.3056478405310889E-4</v>
      </c>
      <c r="H60" s="2">
        <v>7.0539419087136462E-3</v>
      </c>
      <c r="I60" s="2">
        <v>2.4721878862793926E-3</v>
      </c>
      <c r="J60" s="2">
        <v>8.4258117550349843E-3</v>
      </c>
      <c r="K60" s="2">
        <v>2.0379050336254909E-3</v>
      </c>
      <c r="L60" s="2">
        <v>1.6270083384176419E-3</v>
      </c>
      <c r="M60" s="2">
        <v>1.4213197969544071E-3</v>
      </c>
      <c r="N60" s="2">
        <v>2.4330900243309346E-3</v>
      </c>
      <c r="O60" s="2">
        <v>6.0679611650481984E-4</v>
      </c>
      <c r="P60" s="2">
        <v>1.8192844147969154E-3</v>
      </c>
      <c r="Q60" s="2">
        <v>4.2372881355931509E-3</v>
      </c>
      <c r="R60" s="2">
        <v>3.2147880249144244E-3</v>
      </c>
      <c r="S60" s="2">
        <v>5.0070098137392927E-3</v>
      </c>
      <c r="T60" s="2">
        <v>6.1777600637705852E-3</v>
      </c>
      <c r="U60" s="2">
        <v>6.3378886908298446E-3</v>
      </c>
      <c r="V60" s="2">
        <v>1.3973627238732578E-2</v>
      </c>
      <c r="W60" s="2">
        <v>5.240683229813697E-3</v>
      </c>
      <c r="X60" s="2">
        <v>4.4410117783354975E-3</v>
      </c>
      <c r="Y60" s="2">
        <v>1.7301038062284392E-3</v>
      </c>
      <c r="Z60" s="2">
        <v>1.9190174630588045E-3</v>
      </c>
      <c r="AA60" s="2">
        <v>2.1068760773798557E-3</v>
      </c>
      <c r="AB60" s="2">
        <v>1.337920489296723E-3</v>
      </c>
      <c r="AC60" s="2">
        <v>4.0083985493414116E-3</v>
      </c>
      <c r="AD60" s="2">
        <v>0</v>
      </c>
      <c r="AE60" s="2">
        <v>7.6045627376424771E-3</v>
      </c>
      <c r="AF60" s="2">
        <v>4.1509433962265011E-3</v>
      </c>
    </row>
    <row r="61" spans="1:32" x14ac:dyDescent="0.25">
      <c r="A61" s="33" t="e">
        <f t="shared" si="7"/>
        <v>#N/A</v>
      </c>
      <c r="B61" t="s">
        <v>102</v>
      </c>
      <c r="C61" s="2"/>
      <c r="D61" s="2">
        <v>-1.9083969465649576E-3</v>
      </c>
      <c r="E61" s="2">
        <v>-6.3734862970044612E-3</v>
      </c>
      <c r="F61" s="2">
        <v>-1.2614924096642976E-2</v>
      </c>
      <c r="G61" s="2">
        <v>1.0394110004330655E-2</v>
      </c>
      <c r="H61" s="2">
        <v>1.8859837119588538E-2</v>
      </c>
      <c r="I61" s="2">
        <v>1.682793437105679E-3</v>
      </c>
      <c r="J61" s="2">
        <v>8.1898362032758257E-3</v>
      </c>
      <c r="K61" s="2">
        <v>-4.1657987919181135E-4</v>
      </c>
      <c r="L61" s="2">
        <v>-2.0837674515522883E-4</v>
      </c>
      <c r="M61" s="2">
        <v>5.0020842017508005E-3</v>
      </c>
      <c r="N61" s="2">
        <v>8.7100788054747646E-3</v>
      </c>
      <c r="O61" s="2">
        <v>2.8782894736842225E-3</v>
      </c>
      <c r="P61" s="2">
        <v>2.4600246002460377E-3</v>
      </c>
      <c r="Q61" s="2">
        <v>8.3844580777096573E-3</v>
      </c>
      <c r="R61" s="2">
        <v>1.6832285540458233E-2</v>
      </c>
      <c r="S61" s="2">
        <v>9.5731950538493586E-3</v>
      </c>
      <c r="T61" s="2">
        <v>-2.1730541288028896E-3</v>
      </c>
      <c r="U61" s="2">
        <v>5.9394179370421693E-3</v>
      </c>
      <c r="V61" s="2">
        <v>2.1649281637471708E-3</v>
      </c>
      <c r="W61" s="2">
        <v>8.8373919874314335E-3</v>
      </c>
      <c r="X61" s="2">
        <v>-1.7519953280126909E-3</v>
      </c>
      <c r="Y61" s="2">
        <v>7.0202808112325502E-3</v>
      </c>
      <c r="Z61" s="2">
        <v>8.5205267234701888E-3</v>
      </c>
      <c r="AA61" s="2">
        <v>1.2864823348694404E-2</v>
      </c>
      <c r="AB61" s="2">
        <v>1.5734597156398016E-2</v>
      </c>
      <c r="AC61" s="2">
        <v>1.3624486748786723E-2</v>
      </c>
      <c r="AD61" s="2">
        <v>1.8412815319492702E-4</v>
      </c>
      <c r="AE61" s="2">
        <v>1.6568483063328421E-2</v>
      </c>
      <c r="AF61" s="2">
        <v>6.3382832307133027E-3</v>
      </c>
    </row>
    <row r="62" spans="1:32" x14ac:dyDescent="0.25">
      <c r="A62" s="33" t="e">
        <f t="shared" si="7"/>
        <v>#N/A</v>
      </c>
      <c r="B62" t="s">
        <v>103</v>
      </c>
      <c r="C62" s="2"/>
      <c r="D62" s="2">
        <v>4.6326935804102496E-3</v>
      </c>
      <c r="E62" s="2">
        <v>9.8814229249013733E-3</v>
      </c>
      <c r="F62" s="2">
        <v>2.6092628832355227E-3</v>
      </c>
      <c r="G62" s="2">
        <v>3.9037085230967197E-3</v>
      </c>
      <c r="H62" s="2">
        <v>1.5770144739684806E-2</v>
      </c>
      <c r="I62" s="2">
        <v>4.8915355168012639E-3</v>
      </c>
      <c r="J62" s="2">
        <v>9.1005291005291245E-3</v>
      </c>
      <c r="K62" s="2">
        <v>5.2432885906040861E-3</v>
      </c>
      <c r="L62" s="2">
        <v>1.0431879824743826E-3</v>
      </c>
      <c r="M62" s="2">
        <v>6.0441850771154769E-3</v>
      </c>
      <c r="N62" s="2">
        <v>2.4860161591050696E-3</v>
      </c>
      <c r="O62" s="2">
        <v>3.9264310808017717E-3</v>
      </c>
      <c r="P62" s="2">
        <v>4.3227665706051174E-3</v>
      </c>
      <c r="Q62" s="2">
        <v>4.7140807542530028E-3</v>
      </c>
      <c r="R62" s="2">
        <v>6.7319461444308093E-3</v>
      </c>
      <c r="S62" s="2">
        <v>1.3373860182370752E-2</v>
      </c>
      <c r="T62" s="2">
        <v>4.1991601679665091E-3</v>
      </c>
      <c r="U62" s="2">
        <v>1.991238550378222E-4</v>
      </c>
      <c r="V62" s="2">
        <v>5.1761895281704608E-3</v>
      </c>
      <c r="W62" s="2">
        <v>4.3572984749454544E-3</v>
      </c>
      <c r="X62" s="2">
        <v>3.5495957404850778E-3</v>
      </c>
      <c r="Y62" s="2">
        <v>4.5195519748477894E-3</v>
      </c>
      <c r="Z62" s="2">
        <v>3.7167449139279677E-3</v>
      </c>
      <c r="AA62" s="2">
        <v>5.0672383550965164E-3</v>
      </c>
      <c r="AB62" s="2">
        <v>4.8477797168897194E-3</v>
      </c>
      <c r="AC62" s="2">
        <v>7.3330760324198264E-3</v>
      </c>
      <c r="AD62" s="2">
        <v>0</v>
      </c>
      <c r="AE62" s="2">
        <v>5.3639846743293602E-3</v>
      </c>
      <c r="AF62" s="2">
        <v>3.8109756097562063E-3</v>
      </c>
    </row>
    <row r="63" spans="1:32" x14ac:dyDescent="0.25">
      <c r="A63" s="33" t="e">
        <f t="shared" si="7"/>
        <v>#N/A</v>
      </c>
      <c r="B63" t="s">
        <v>104</v>
      </c>
      <c r="C63" s="2"/>
      <c r="D63" s="2">
        <v>-9.8635886673661879E-3</v>
      </c>
      <c r="E63" s="2">
        <v>-4.2390843577788401E-3</v>
      </c>
      <c r="F63" s="2">
        <v>1.2771392081737999E-3</v>
      </c>
      <c r="G63" s="2">
        <v>6.3775510204079813E-3</v>
      </c>
      <c r="H63" s="2">
        <v>1.6054076890578962E-2</v>
      </c>
      <c r="I63" s="2">
        <v>5.8212058212058441E-3</v>
      </c>
      <c r="J63" s="2">
        <v>7.6477883422901198E-3</v>
      </c>
      <c r="K63" s="2">
        <v>3.2820512820512706E-3</v>
      </c>
      <c r="L63" s="2">
        <v>8.1782866489465804E-4</v>
      </c>
      <c r="M63" s="2">
        <v>1.4096016343207425E-2</v>
      </c>
      <c r="N63" s="2">
        <v>7.050765511684068E-3</v>
      </c>
      <c r="O63" s="2">
        <v>-3.000600120024005E-3</v>
      </c>
      <c r="P63" s="2">
        <v>-2.6083467094701568E-3</v>
      </c>
      <c r="Q63" s="2">
        <v>2.4140012070004661E-3</v>
      </c>
      <c r="R63" s="2">
        <v>9.231386714830413E-3</v>
      </c>
      <c r="S63" s="2">
        <v>1.4316961622589018E-2</v>
      </c>
      <c r="T63" s="2">
        <v>9.6059596157615709E-3</v>
      </c>
      <c r="U63" s="2">
        <v>5.0485436893204332E-3</v>
      </c>
      <c r="V63" s="2">
        <v>4.6367851622875463E-3</v>
      </c>
      <c r="W63" s="2">
        <v>5.1923076923077252E-3</v>
      </c>
      <c r="X63" s="2">
        <v>5.9307442127413601E-3</v>
      </c>
      <c r="Y63" s="2">
        <v>7.7976416888551215E-3</v>
      </c>
      <c r="Z63" s="2">
        <v>-2.8307227778824585E-3</v>
      </c>
      <c r="AA63" s="2">
        <v>-2.8387585162757099E-3</v>
      </c>
      <c r="AB63" s="2">
        <v>4.3651546783071548E-3</v>
      </c>
      <c r="AC63" s="2">
        <v>4.3461829176114032E-3</v>
      </c>
      <c r="AD63" s="2">
        <v>0</v>
      </c>
      <c r="AE63" s="2">
        <v>5.2681091251176133E-3</v>
      </c>
      <c r="AF63" s="2">
        <v>5.2405015908664164E-3</v>
      </c>
    </row>
    <row r="64" spans="1:32" ht="15.6" x14ac:dyDescent="0.3">
      <c r="B64" s="31" t="s">
        <v>164</v>
      </c>
      <c r="C64" s="34" t="s">
        <v>52</v>
      </c>
      <c r="D64" s="34">
        <v>9.9317817014446141E-2</v>
      </c>
      <c r="E64" s="34">
        <v>0.11735718196751231</v>
      </c>
      <c r="F64" s="34">
        <v>5.7334204508330697E-2</v>
      </c>
      <c r="G64" s="34">
        <v>-2.0546887069365138E-2</v>
      </c>
      <c r="H64" s="34">
        <v>5.5993690851735084E-2</v>
      </c>
      <c r="I64" s="34">
        <v>7.5130694548170285E-2</v>
      </c>
      <c r="J64" s="34">
        <v>2.1672686857460436E-2</v>
      </c>
      <c r="K64" s="34">
        <v>-5.0856676638564163E-2</v>
      </c>
      <c r="L64" s="34">
        <v>4.7707736389684792E-2</v>
      </c>
      <c r="M64" s="34">
        <v>0.12279502256255989</v>
      </c>
      <c r="N64" s="34">
        <v>-1.7902813299232722E-2</v>
      </c>
      <c r="O64" s="34">
        <v>-9.1021825396825434E-2</v>
      </c>
      <c r="P64" s="34">
        <v>0.15511596180081863</v>
      </c>
      <c r="Q64" s="34">
        <v>0.11101925121058216</v>
      </c>
      <c r="R64" s="34">
        <v>0.19985117465717034</v>
      </c>
      <c r="S64" s="34">
        <v>-8.7711526534951761E-2</v>
      </c>
      <c r="T64" s="34">
        <v>6.3513644750898379E-2</v>
      </c>
      <c r="U64" s="34">
        <v>5.9355310017350012E-2</v>
      </c>
      <c r="V64" s="34">
        <v>-9.0681837772605897E-2</v>
      </c>
      <c r="W64" s="34">
        <v>-7.6689733624040093E-2</v>
      </c>
      <c r="X64" s="34">
        <v>-6.8685831622176716E-2</v>
      </c>
      <c r="Y64" s="34">
        <v>1.0913901444162818E-2</v>
      </c>
      <c r="Z64" s="34">
        <v>-4.5256270447110204E-2</v>
      </c>
      <c r="AA64" s="34">
        <v>-0.10793832095945177</v>
      </c>
      <c r="AB64" s="34">
        <v>3.6107554417413666E-2</v>
      </c>
      <c r="AC64" s="34">
        <v>1.6806722689075623E-2</v>
      </c>
      <c r="AD64" s="34">
        <v>-4.5454545454545393E-2</v>
      </c>
      <c r="AE64" s="34">
        <v>6.6462948815889974E-2</v>
      </c>
      <c r="AF64" s="34">
        <v>-0.10482330468003821</v>
      </c>
    </row>
    <row r="66" spans="1:31" ht="15.6" x14ac:dyDescent="0.3">
      <c r="A66" s="31"/>
    </row>
    <row r="76" spans="1:31" x14ac:dyDescent="0.25">
      <c r="B76" t="s">
        <v>66</v>
      </c>
      <c r="C76" s="10">
        <v>44197</v>
      </c>
      <c r="D76" s="10">
        <v>44228</v>
      </c>
      <c r="E76" s="10">
        <v>44256</v>
      </c>
      <c r="F76" s="10">
        <v>44287</v>
      </c>
      <c r="G76" s="10">
        <v>44317</v>
      </c>
      <c r="H76" s="10">
        <v>44348</v>
      </c>
      <c r="I76" s="10">
        <v>44378</v>
      </c>
      <c r="J76" s="10">
        <v>44409</v>
      </c>
      <c r="K76" s="10">
        <v>44440</v>
      </c>
      <c r="L76" s="10">
        <v>44470</v>
      </c>
      <c r="M76" s="10">
        <v>44501</v>
      </c>
      <c r="N76" s="10">
        <v>44531</v>
      </c>
      <c r="O76" s="10">
        <v>44562</v>
      </c>
      <c r="P76" s="10">
        <v>44593</v>
      </c>
      <c r="Q76" s="10">
        <v>44621</v>
      </c>
      <c r="R76" s="10">
        <v>44652</v>
      </c>
      <c r="S76" s="10">
        <v>44682</v>
      </c>
      <c r="T76" s="10">
        <v>44713</v>
      </c>
      <c r="U76" s="10">
        <v>44743</v>
      </c>
      <c r="V76" s="10">
        <v>44774</v>
      </c>
      <c r="W76" s="10">
        <v>44805</v>
      </c>
      <c r="X76" s="10">
        <v>44835</v>
      </c>
      <c r="Y76" s="10">
        <v>44866</v>
      </c>
      <c r="Z76" s="10">
        <v>44896</v>
      </c>
      <c r="AA76" s="10">
        <v>44927</v>
      </c>
      <c r="AB76" s="10">
        <v>44958</v>
      </c>
      <c r="AC76" s="10">
        <v>44986</v>
      </c>
      <c r="AD76" s="10">
        <v>45017</v>
      </c>
      <c r="AE76" s="10">
        <v>45047</v>
      </c>
    </row>
    <row r="77" spans="1:31" x14ac:dyDescent="0.25">
      <c r="B77" t="s">
        <v>67</v>
      </c>
      <c r="C77" s="2">
        <v>-7.5068243858054332E-3</v>
      </c>
      <c r="D77" s="2">
        <v>-3.6672014668803791E-3</v>
      </c>
      <c r="E77" s="2">
        <v>-1.3802622498273887E-3</v>
      </c>
      <c r="F77" s="2">
        <v>1.1518083390921129E-3</v>
      </c>
      <c r="G77" s="2">
        <v>1.2885411872986904E-2</v>
      </c>
      <c r="H77" s="2">
        <v>2.9532030895046022E-3</v>
      </c>
      <c r="I77" s="2">
        <v>-2.038505096262625E-3</v>
      </c>
      <c r="J77" s="2">
        <v>4.539264639126268E-4</v>
      </c>
      <c r="K77" s="2">
        <v>1.134301270417552E-3</v>
      </c>
      <c r="L77" s="2">
        <v>5.211874008611013E-3</v>
      </c>
      <c r="M77" s="2">
        <v>5.6357078449053837E-3</v>
      </c>
      <c r="N77" s="2">
        <v>3.5866397668682108E-3</v>
      </c>
      <c r="O77" s="2">
        <v>5.1373687737324997E-3</v>
      </c>
      <c r="P77" s="2">
        <v>2.8888888888889143E-3</v>
      </c>
      <c r="Q77" s="2">
        <v>8.6417017504984463E-3</v>
      </c>
      <c r="R77" s="2">
        <v>1.0764499121265517E-2</v>
      </c>
      <c r="S77" s="2">
        <v>7.8243860030425567E-3</v>
      </c>
      <c r="T77" s="2">
        <v>5.6070735389262636E-3</v>
      </c>
      <c r="U77" s="2">
        <v>1.0079348059189338E-2</v>
      </c>
      <c r="V77" s="2">
        <v>2.3142250530785516E-2</v>
      </c>
      <c r="W77" s="2">
        <v>1.9506121601992069E-2</v>
      </c>
      <c r="X77" s="2">
        <v>1.0177081213108197E-2</v>
      </c>
      <c r="Y77" s="2">
        <v>1.2895426153536293E-2</v>
      </c>
      <c r="Z77" s="2">
        <v>1.094091903719901E-2</v>
      </c>
      <c r="AA77" s="2">
        <v>2.5383707201889087E-2</v>
      </c>
      <c r="AB77" s="2">
        <v>4.2218384187293701E-3</v>
      </c>
      <c r="AC77" s="2">
        <v>1.9109497420249352E-4</v>
      </c>
      <c r="AD77" s="2">
        <v>-2.8658769583492544E-3</v>
      </c>
      <c r="AE77" s="2">
        <v>-5.7482276298170798E-4</v>
      </c>
    </row>
    <row r="78" spans="1:31" x14ac:dyDescent="0.25">
      <c r="B78" t="s">
        <v>69</v>
      </c>
      <c r="C78" s="2">
        <v>-4.867872044506426E-3</v>
      </c>
      <c r="D78" s="2">
        <v>-1.8693221523410037E-2</v>
      </c>
      <c r="E78" s="2">
        <v>3.0977390065871368E-2</v>
      </c>
      <c r="F78" s="2">
        <v>2.9183215334139142E-2</v>
      </c>
      <c r="G78" s="2">
        <v>1.2248322147651026E-2</v>
      </c>
      <c r="H78" s="2">
        <v>7.1274656058345955E-3</v>
      </c>
      <c r="I78" s="2">
        <v>2.4028966425279828E-2</v>
      </c>
      <c r="J78" s="2">
        <v>-1.3661202185792257E-2</v>
      </c>
      <c r="K78" s="2">
        <v>-3.2589212970518799E-4</v>
      </c>
      <c r="L78" s="2">
        <v>3.2599837000814535E-3</v>
      </c>
      <c r="M78" s="2">
        <v>-1.494719740048739E-2</v>
      </c>
      <c r="N78" s="2">
        <v>-1.3689592610918613E-2</v>
      </c>
      <c r="O78" s="2">
        <v>-5.0167224080278959E-4</v>
      </c>
      <c r="P78" s="2">
        <v>1.0373096871340118E-2</v>
      </c>
      <c r="Q78" s="2">
        <v>5.0670640834575349E-2</v>
      </c>
      <c r="R78" s="2">
        <v>4.4129235618596153E-3</v>
      </c>
      <c r="S78" s="2">
        <v>2.447826769182497E-2</v>
      </c>
      <c r="T78" s="2">
        <v>1.0874559656915337E-2</v>
      </c>
      <c r="U78" s="2">
        <v>-2.8939393939393845E-2</v>
      </c>
      <c r="V78" s="2">
        <v>-3.0269932906849883E-2</v>
      </c>
      <c r="W78" s="2">
        <v>1.303298471440059E-2</v>
      </c>
      <c r="X78" s="2">
        <v>7.9415501905972952E-3</v>
      </c>
      <c r="Y78" s="2">
        <v>-7.2486605735896537E-3</v>
      </c>
      <c r="Z78" s="2">
        <v>-1.9047619047619319E-3</v>
      </c>
      <c r="AA78" s="2">
        <v>8.5877862595420389E-3</v>
      </c>
      <c r="AB78" s="2">
        <v>-1.4348785871964805E-2</v>
      </c>
      <c r="AC78" s="2">
        <v>0</v>
      </c>
      <c r="AD78" s="2">
        <v>7.6787713965766578E-3</v>
      </c>
      <c r="AE78" s="2">
        <v>2.4289569772979948E-2</v>
      </c>
    </row>
    <row r="79" spans="1:31" x14ac:dyDescent="0.25">
      <c r="B79" t="s">
        <v>71</v>
      </c>
      <c r="C79" s="2">
        <v>1.8975332068326298E-4</v>
      </c>
      <c r="D79" s="2">
        <v>-3.8892050844242132E-2</v>
      </c>
      <c r="E79" s="2">
        <v>-2.9411764705882363E-2</v>
      </c>
      <c r="F79" s="2">
        <v>5.4911531421597149E-3</v>
      </c>
      <c r="G79" s="2">
        <v>3.5396440129449896E-2</v>
      </c>
      <c r="H79" s="2">
        <v>6.0363352217229833E-2</v>
      </c>
      <c r="I79" s="2">
        <v>8.8430361090642388E-3</v>
      </c>
      <c r="J79" s="2">
        <v>-4.4192841490138766E-2</v>
      </c>
      <c r="K79" s="2">
        <v>-8.5976308750477654E-3</v>
      </c>
      <c r="L79" s="2">
        <v>-8.8649065330508366E-3</v>
      </c>
      <c r="M79" s="2">
        <v>1.0888586428154819E-2</v>
      </c>
      <c r="N79" s="2">
        <v>2.7889978842085075E-2</v>
      </c>
      <c r="O79" s="2">
        <v>4.6781437125749037E-3</v>
      </c>
      <c r="P79" s="2">
        <v>-1.7135406965915419E-2</v>
      </c>
      <c r="Q79" s="2">
        <v>-4.6048891415577158E-2</v>
      </c>
      <c r="R79" s="2">
        <v>-1.9467620182757162E-2</v>
      </c>
      <c r="S79" s="2">
        <v>-1.1547811993517053E-2</v>
      </c>
      <c r="T79" s="2">
        <v>5.185488829678233E-2</v>
      </c>
      <c r="U79" s="2">
        <v>2.513639906469186E-2</v>
      </c>
      <c r="V79" s="2">
        <v>-3.4214027751378072E-2</v>
      </c>
      <c r="W79" s="2">
        <v>2.9521747687464781E-3</v>
      </c>
      <c r="X79" s="2">
        <v>6.8681318681318116E-3</v>
      </c>
      <c r="Y79" s="2">
        <v>6.1781329175599274E-2</v>
      </c>
      <c r="Z79" s="2">
        <v>4.8458149779735747E-2</v>
      </c>
      <c r="AA79" s="2">
        <v>2.3109243697478871E-2</v>
      </c>
      <c r="AB79" s="2">
        <v>-9.9418206707734477E-2</v>
      </c>
      <c r="AC79" s="2">
        <v>0</v>
      </c>
      <c r="AD79" s="2">
        <v>-3.1160934828044693E-2</v>
      </c>
      <c r="AE79" s="2">
        <v>2.1572857423024068E-2</v>
      </c>
    </row>
    <row r="80" spans="1:31" x14ac:dyDescent="0.25">
      <c r="B80" t="s">
        <v>73</v>
      </c>
      <c r="C80" s="2">
        <v>4.3261951113992783E-4</v>
      </c>
      <c r="D80" s="2">
        <v>3.6756756756756515E-3</v>
      </c>
      <c r="E80" s="2">
        <v>1.7233950883240841E-3</v>
      </c>
      <c r="F80" s="2">
        <v>3.0107526881720552E-3</v>
      </c>
      <c r="G80" s="2">
        <v>4.2881646655232777E-3</v>
      </c>
      <c r="H80" s="2">
        <v>8.5397096498695971E-4</v>
      </c>
      <c r="I80" s="2">
        <v>8.5324232081911873E-3</v>
      </c>
      <c r="J80" s="2">
        <v>4.864636209813959E-3</v>
      </c>
      <c r="K80" s="2">
        <v>8.4192801515465643E-4</v>
      </c>
      <c r="L80" s="2">
        <v>1.6824395373290315E-3</v>
      </c>
      <c r="M80" s="2">
        <v>3.5691790888097291E-3</v>
      </c>
      <c r="N80" s="2">
        <v>3.5564853556485114E-3</v>
      </c>
      <c r="O80" s="2">
        <v>3.5438815926620566E-3</v>
      </c>
      <c r="P80" s="2">
        <v>1.2463647694224468E-3</v>
      </c>
      <c r="Q80" s="2">
        <v>9.9585062240663547E-3</v>
      </c>
      <c r="R80" s="2">
        <v>1.0476581758422455E-2</v>
      </c>
      <c r="S80" s="2">
        <v>6.0988005692213867E-3</v>
      </c>
      <c r="T80" s="2">
        <v>5.4556476055769186E-3</v>
      </c>
      <c r="U80" s="2">
        <v>4.8231511254018264E-3</v>
      </c>
      <c r="V80" s="2">
        <v>8.8000000000000127E-3</v>
      </c>
      <c r="W80" s="2">
        <v>9.7145122918318345E-3</v>
      </c>
      <c r="X80" s="2">
        <v>6.872177498527335E-3</v>
      </c>
      <c r="Y80" s="2">
        <v>7.9953198127928893E-3</v>
      </c>
      <c r="Z80" s="2">
        <v>7.7384407041978277E-3</v>
      </c>
      <c r="AA80" s="2">
        <v>6.1432136686502279E-3</v>
      </c>
      <c r="AB80" s="2">
        <v>1.545506582713249E-2</v>
      </c>
      <c r="AC80" s="2">
        <v>0</v>
      </c>
      <c r="AD80" s="2">
        <v>6.012777151446963E-3</v>
      </c>
      <c r="AE80" s="2">
        <v>5.7900635039221304E-3</v>
      </c>
    </row>
    <row r="81" spans="1:31" x14ac:dyDescent="0.25">
      <c r="B81" t="s">
        <v>76</v>
      </c>
      <c r="C81" s="2">
        <v>2.8584495769494758E-2</v>
      </c>
      <c r="D81" s="2">
        <v>5.1800800355713737E-2</v>
      </c>
      <c r="E81" s="2">
        <v>3.2551257662227807E-2</v>
      </c>
      <c r="F81" s="2">
        <v>3.7256908904810621E-2</v>
      </c>
      <c r="G81" s="2">
        <v>4.9733570159857771E-2</v>
      </c>
      <c r="H81" s="2">
        <v>2.7072758037225111E-2</v>
      </c>
      <c r="I81" s="2">
        <v>-8.9694307157239198E-3</v>
      </c>
      <c r="J81" s="2">
        <v>2.3088289619504935E-2</v>
      </c>
      <c r="K81" s="2">
        <v>8.3047481494854559E-3</v>
      </c>
      <c r="L81" s="2">
        <v>1.3428827215756492E-2</v>
      </c>
      <c r="M81" s="2">
        <v>-3.0035335689045737E-3</v>
      </c>
      <c r="N81" s="2">
        <v>-1.3113592060960341E-2</v>
      </c>
      <c r="O81" s="2">
        <v>-1.544262883821172E-2</v>
      </c>
      <c r="P81" s="2">
        <v>1.276673354003366E-3</v>
      </c>
      <c r="Q81" s="2">
        <v>5.2276867030965526E-2</v>
      </c>
      <c r="R81" s="2">
        <v>2.6311234204604295E-2</v>
      </c>
      <c r="S81" s="2">
        <v>1.5010963062911125E-2</v>
      </c>
      <c r="T81" s="2">
        <v>-6.9790628115651912E-3</v>
      </c>
      <c r="U81" s="2">
        <v>-2.4765729585006852E-2</v>
      </c>
      <c r="V81" s="2">
        <v>-1.681537405627995E-2</v>
      </c>
      <c r="W81" s="2">
        <v>-1.9022687609075006E-2</v>
      </c>
      <c r="X81" s="2">
        <v>-1.1207970112079822E-2</v>
      </c>
      <c r="Y81" s="2">
        <v>1.2774379273119869E-2</v>
      </c>
      <c r="Z81" s="2">
        <v>-2.4871202700302111E-3</v>
      </c>
      <c r="AA81" s="2">
        <v>-6.589492430988505E-3</v>
      </c>
      <c r="AB81" s="2">
        <v>-4.1054141269272107E-2</v>
      </c>
      <c r="AC81" s="2">
        <v>-3.7390166386222355E-4</v>
      </c>
      <c r="AD81" s="2">
        <v>-2.3564615672339723E-2</v>
      </c>
      <c r="AE81" s="2">
        <v>-2.7580923194790337E-2</v>
      </c>
    </row>
    <row r="82" spans="1:31" x14ac:dyDescent="0.25">
      <c r="B82" t="s">
        <v>78</v>
      </c>
      <c r="C82" s="2">
        <v>1.3309271373787518E-2</v>
      </c>
      <c r="D82" s="2">
        <v>7.3463935886021112E-3</v>
      </c>
      <c r="E82" s="2">
        <v>1.9889502762430938E-2</v>
      </c>
      <c r="F82" s="2">
        <v>6.9989165763813727E-2</v>
      </c>
      <c r="G82" s="2">
        <v>1.640340218712022E-2</v>
      </c>
      <c r="H82" s="2">
        <v>-1.4345487148834463E-2</v>
      </c>
      <c r="I82" s="2">
        <v>-4.4471396806146056E-3</v>
      </c>
      <c r="J82" s="2">
        <v>-3.7969543147208046E-2</v>
      </c>
      <c r="K82" s="2">
        <v>-6.7539046010976654E-3</v>
      </c>
      <c r="L82" s="2">
        <v>-6.3748406289840954E-3</v>
      </c>
      <c r="M82" s="2">
        <v>5.1325919589391544E-3</v>
      </c>
      <c r="N82" s="2">
        <v>-1.0212765957446591E-2</v>
      </c>
      <c r="O82" s="2">
        <v>-8.1685296646606294E-3</v>
      </c>
      <c r="P82" s="2">
        <v>2.1673168617269091E-4</v>
      </c>
      <c r="Q82" s="2">
        <v>2.5135427952329408E-2</v>
      </c>
      <c r="R82" s="2">
        <v>9.5328683153667285E-2</v>
      </c>
      <c r="S82" s="2">
        <v>-9.0698571979931954E-3</v>
      </c>
      <c r="T82" s="2">
        <v>-7.594936708860826E-3</v>
      </c>
      <c r="U82" s="2">
        <v>2.6883830455259008E-2</v>
      </c>
      <c r="V82" s="2">
        <v>-7.8348939422890358E-3</v>
      </c>
      <c r="W82" s="2">
        <v>-4.2180277349769098E-2</v>
      </c>
      <c r="X82" s="2">
        <v>-1.1260808365171803E-2</v>
      </c>
      <c r="Y82" s="2">
        <v>-1.8913971934106301E-2</v>
      </c>
      <c r="Z82" s="2">
        <v>-1.6998341625207216E-2</v>
      </c>
      <c r="AA82" s="2">
        <v>1.8979333614509365E-3</v>
      </c>
      <c r="AB82" s="2">
        <v>7.0932435276783751E-2</v>
      </c>
      <c r="AC82" s="2">
        <v>0</v>
      </c>
      <c r="AD82" s="2">
        <v>4.0094339622641577E-2</v>
      </c>
      <c r="AE82" s="2">
        <v>-2.3053665910808745E-2</v>
      </c>
    </row>
    <row r="83" spans="1:31" x14ac:dyDescent="0.25">
      <c r="B83" t="s">
        <v>82</v>
      </c>
      <c r="C83" s="2">
        <v>-0.1547516508756818</v>
      </c>
      <c r="D83" s="2">
        <v>-0.16796875000000003</v>
      </c>
      <c r="E83" s="2">
        <v>-6.7973055725658094E-2</v>
      </c>
      <c r="F83" s="2">
        <v>-3.4603591765221473E-2</v>
      </c>
      <c r="G83" s="2">
        <v>2.7223230490018152E-2</v>
      </c>
      <c r="H83" s="2">
        <v>5.1899293286219339E-2</v>
      </c>
      <c r="I83" s="2">
        <v>5.6896913709846716E-2</v>
      </c>
      <c r="J83" s="2">
        <v>-7.9459674215336274E-3</v>
      </c>
      <c r="K83" s="2">
        <v>-4.4052863436122554E-3</v>
      </c>
      <c r="L83" s="2">
        <v>0.14662107803700714</v>
      </c>
      <c r="M83" s="2">
        <v>7.3846693562532734E-2</v>
      </c>
      <c r="N83" s="2">
        <v>-5.2433845148644048E-2</v>
      </c>
      <c r="O83" s="2">
        <v>-7.4125150836062942E-2</v>
      </c>
      <c r="P83" s="2">
        <v>-2.6438279649972002E-2</v>
      </c>
      <c r="Q83" s="2">
        <v>-2.2566456301395921E-2</v>
      </c>
      <c r="R83" s="2">
        <v>-1.1739385638819236E-3</v>
      </c>
      <c r="S83" s="2">
        <v>5.4848188050930516E-2</v>
      </c>
      <c r="T83" s="2">
        <v>4.1968430826369536E-2</v>
      </c>
      <c r="U83" s="2">
        <v>-3.3862056674389186E-3</v>
      </c>
      <c r="V83" s="2">
        <v>2.449928469241772E-2</v>
      </c>
      <c r="W83" s="2">
        <v>2.8975388374934533E-2</v>
      </c>
      <c r="X83" s="2">
        <v>4.0033927056827713E-2</v>
      </c>
      <c r="Y83" s="2">
        <v>-8.6282824987766918E-2</v>
      </c>
      <c r="Z83" s="2">
        <v>-0.1274544805426634</v>
      </c>
      <c r="AA83" s="2">
        <v>-3.4165302782324034E-2</v>
      </c>
      <c r="AB83" s="2">
        <v>-5.7191273035374218E-3</v>
      </c>
      <c r="AC83" s="2">
        <v>4.2607584149976276E-4</v>
      </c>
      <c r="AD83" s="2">
        <v>1.8100511073253892E-2</v>
      </c>
      <c r="AE83" s="2">
        <v>3.4720769713449055E-2</v>
      </c>
    </row>
    <row r="84" spans="1:31" x14ac:dyDescent="0.25">
      <c r="B84" t="s">
        <v>84</v>
      </c>
      <c r="C84" s="2">
        <v>1.6625103906898473E-3</v>
      </c>
      <c r="D84" s="2">
        <v>-1.0580912863070469E-2</v>
      </c>
      <c r="E84" s="2">
        <v>6.7100020968756313E-3</v>
      </c>
      <c r="F84" s="2">
        <v>1.1455946677775523E-2</v>
      </c>
      <c r="G84" s="2">
        <v>2.224052718286652E-2</v>
      </c>
      <c r="H84" s="2">
        <v>4.0290088638194428E-3</v>
      </c>
      <c r="I84" s="2">
        <v>-1.2239165329052958E-2</v>
      </c>
      <c r="J84" s="2">
        <v>-1.8281535648993477E-3</v>
      </c>
      <c r="K84" s="2">
        <v>2.2385022385021111E-3</v>
      </c>
      <c r="L84" s="2">
        <v>6.4974619289339874E-3</v>
      </c>
      <c r="M84" s="2">
        <v>2.0173492031469502E-4</v>
      </c>
      <c r="N84" s="2">
        <v>-5.4457442517142638E-3</v>
      </c>
      <c r="O84" s="2">
        <v>-2.8391806935712952E-3</v>
      </c>
      <c r="P84" s="2">
        <v>-1.8303843807200204E-3</v>
      </c>
      <c r="Q84" s="2">
        <v>1.4262428687857487E-3</v>
      </c>
      <c r="R84" s="2">
        <v>4.6795523906408027E-3</v>
      </c>
      <c r="S84" s="2">
        <v>0</v>
      </c>
      <c r="T84" s="2">
        <v>-2.6326447954637738E-3</v>
      </c>
      <c r="U84" s="2">
        <v>4.0609137055852568E-4</v>
      </c>
      <c r="V84" s="2">
        <v>1.8063730464785883E-2</v>
      </c>
      <c r="W84" s="2">
        <v>1.1363636363636227E-2</v>
      </c>
      <c r="X84" s="2">
        <v>4.1395623891189656E-3</v>
      </c>
      <c r="Y84" s="2">
        <v>4.5151158225362276E-3</v>
      </c>
      <c r="Z84" s="2">
        <v>1.7588430721126327E-3</v>
      </c>
      <c r="AA84" s="2">
        <v>3.9016777214183253E-4</v>
      </c>
      <c r="AB84" s="2">
        <v>1.5600624024963438E-3</v>
      </c>
      <c r="AC84" s="2">
        <v>3.8940809968828535E-4</v>
      </c>
      <c r="AD84" s="2">
        <v>1.3818606461658445E-2</v>
      </c>
      <c r="AE84" s="2">
        <v>1.2478402764445931E-2</v>
      </c>
    </row>
    <row r="85" spans="1:31" x14ac:dyDescent="0.25">
      <c r="B85" t="s">
        <v>86</v>
      </c>
      <c r="C85" s="2">
        <v>-6.0553633217992108E-3</v>
      </c>
      <c r="D85" s="2">
        <v>-1.5085581665216015E-2</v>
      </c>
      <c r="E85" s="2">
        <v>-2.6509572901326482E-3</v>
      </c>
      <c r="F85" s="2">
        <v>4.4300059066745426E-3</v>
      </c>
      <c r="G85" s="2">
        <v>1.4407527197883034E-2</v>
      </c>
      <c r="H85" s="2">
        <v>2.318840579710013E-3</v>
      </c>
      <c r="I85" s="2">
        <v>-4.9161364950837082E-3</v>
      </c>
      <c r="J85" s="2">
        <v>3.2548677709968041E-2</v>
      </c>
      <c r="K85" s="2">
        <v>1.1539544047284049E-2</v>
      </c>
      <c r="L85" s="2">
        <v>1.8363939899832957E-2</v>
      </c>
      <c r="M85" s="2">
        <v>4.3715846994536525E-3</v>
      </c>
      <c r="N85" s="2">
        <v>-1.1153427638737818E-2</v>
      </c>
      <c r="O85" s="2">
        <v>-7.977991746905104E-3</v>
      </c>
      <c r="P85" s="2">
        <v>-8.3194675540765387E-3</v>
      </c>
      <c r="Q85" s="2">
        <v>-1.1185682326622481E-3</v>
      </c>
      <c r="R85" s="2">
        <v>1.3997760358343064E-3</v>
      </c>
      <c r="S85" s="2">
        <v>5.8708414872798674E-3</v>
      </c>
      <c r="T85" s="2">
        <v>1.6675931072817284E-3</v>
      </c>
      <c r="U85" s="2">
        <v>8.3240843507221304E-4</v>
      </c>
      <c r="V85" s="2">
        <v>7.2082062655947398E-3</v>
      </c>
      <c r="W85" s="2">
        <v>6.0556014313238645E-3</v>
      </c>
      <c r="X85" s="2">
        <v>2.4623803009575693E-3</v>
      </c>
      <c r="Y85" s="2">
        <v>1.6375545851528618E-3</v>
      </c>
      <c r="Z85" s="2">
        <v>-2.452316076294371E-3</v>
      </c>
      <c r="AA85" s="2">
        <v>-5.4629882545750592E-3</v>
      </c>
      <c r="AB85" s="2">
        <v>-8.5141444658061987E-3</v>
      </c>
      <c r="AC85" s="2">
        <v>0</v>
      </c>
      <c r="AD85" s="2">
        <v>1.0526315789473559E-2</v>
      </c>
      <c r="AE85" s="2">
        <v>1.0964912280701952E-2</v>
      </c>
    </row>
    <row r="86" spans="1:31" x14ac:dyDescent="0.25">
      <c r="B86" t="s">
        <v>87</v>
      </c>
      <c r="C86" s="2">
        <v>6.3472563472565108E-3</v>
      </c>
      <c r="D86" s="2">
        <v>4.0691759918614164E-4</v>
      </c>
      <c r="E86" s="2">
        <v>-3.2540166768354572E-3</v>
      </c>
      <c r="F86" s="2">
        <v>2.0403999183840611E-3</v>
      </c>
      <c r="G86" s="2">
        <v>2.4434941967012652E-2</v>
      </c>
      <c r="H86" s="2">
        <v>1.7889087656530196E-3</v>
      </c>
      <c r="I86" s="2">
        <v>-9.9206349206343563E-4</v>
      </c>
      <c r="J86" s="2">
        <v>2.5819265143992281E-3</v>
      </c>
      <c r="K86" s="2">
        <v>5.9429477020598838E-4</v>
      </c>
      <c r="L86" s="2">
        <v>3.1676895664224792E-3</v>
      </c>
      <c r="M86" s="2">
        <v>1.7761989342805385E-3</v>
      </c>
      <c r="N86" s="2">
        <v>5.5161544523246878E-3</v>
      </c>
      <c r="O86" s="2">
        <v>9.4043887147336764E-3</v>
      </c>
      <c r="P86" s="2">
        <v>1.300465838509309E-2</v>
      </c>
      <c r="Q86" s="2">
        <v>1.7053075301781798E-2</v>
      </c>
      <c r="R86" s="2">
        <v>2.1477015825169782E-2</v>
      </c>
      <c r="S86" s="2">
        <v>1.9734415344891003E-2</v>
      </c>
      <c r="T86" s="2">
        <v>1.1937059142702209E-2</v>
      </c>
      <c r="U86" s="2">
        <v>1.5370866845397717E-2</v>
      </c>
      <c r="V86" s="2">
        <v>1.9010737546206621E-2</v>
      </c>
      <c r="W86" s="2">
        <v>1.9174296078770022E-2</v>
      </c>
      <c r="X86" s="2">
        <v>1.3389830508474539E-2</v>
      </c>
      <c r="Y86" s="2">
        <v>1.4216424151196044E-2</v>
      </c>
      <c r="Z86" s="2">
        <v>1.1213720316622615E-2</v>
      </c>
      <c r="AA86" s="2">
        <v>1.6307893020221832E-2</v>
      </c>
      <c r="AB86" s="2">
        <v>5.4557124518613241E-3</v>
      </c>
      <c r="AC86" s="2">
        <v>0</v>
      </c>
      <c r="AD86" s="2">
        <v>1.5320778806256066E-2</v>
      </c>
      <c r="AE86" s="2">
        <v>2.310594152782133E-2</v>
      </c>
    </row>
    <row r="87" spans="1:31" x14ac:dyDescent="0.25">
      <c r="B87" t="s">
        <v>88</v>
      </c>
      <c r="C87" s="2">
        <v>1.7716976900650511E-2</v>
      </c>
      <c r="D87" s="2">
        <v>2.4019391802556141E-2</v>
      </c>
      <c r="E87" s="2">
        <v>6.6709705186139634E-3</v>
      </c>
      <c r="F87" s="2">
        <v>6.8405301410860934E-3</v>
      </c>
      <c r="G87" s="2">
        <v>1.0403397027600802E-2</v>
      </c>
      <c r="H87" s="2">
        <v>3.9924353855853387E-3</v>
      </c>
      <c r="I87" s="2">
        <v>5.6508999581413389E-3</v>
      </c>
      <c r="J87" s="2">
        <v>9.5733610822062009E-3</v>
      </c>
      <c r="K87" s="2">
        <v>1.4430014430013608E-3</v>
      </c>
      <c r="L87" s="2">
        <v>3.2935364347467977E-3</v>
      </c>
      <c r="M87" s="2">
        <v>3.0775543701272055E-3</v>
      </c>
      <c r="N87" s="2">
        <v>3.0681120883616279E-3</v>
      </c>
      <c r="O87" s="2">
        <v>6.117455138661969E-4</v>
      </c>
      <c r="P87" s="2">
        <v>2.4454860403505547E-3</v>
      </c>
      <c r="Q87" s="2">
        <v>3.4559869892254293E-3</v>
      </c>
      <c r="R87" s="2">
        <v>5.0648298217180476E-3</v>
      </c>
      <c r="S87" s="2">
        <v>5.4424511187260976E-3</v>
      </c>
      <c r="T87" s="2">
        <v>4.8115477145147323E-3</v>
      </c>
      <c r="U87" s="2">
        <v>2.9928172386274646E-3</v>
      </c>
      <c r="V87" s="2">
        <v>2.7849612094687096E-3</v>
      </c>
      <c r="W87" s="2">
        <v>3.5707200952191688E-3</v>
      </c>
      <c r="X87" s="2">
        <v>2.767345325163087E-3</v>
      </c>
      <c r="Y87" s="2">
        <v>3.1539522964715047E-3</v>
      </c>
      <c r="Z87" s="2">
        <v>3.3405384161919317E-3</v>
      </c>
      <c r="AA87" s="2">
        <v>2.7418723070895424E-3</v>
      </c>
      <c r="AB87" s="2">
        <v>5.4687500000001887E-3</v>
      </c>
      <c r="AC87" s="2">
        <v>0</v>
      </c>
      <c r="AD87" s="2">
        <v>3.4965034965031318E-3</v>
      </c>
      <c r="AE87" s="2">
        <v>2.7100271002711792E-3</v>
      </c>
    </row>
    <row r="88" spans="1:31" x14ac:dyDescent="0.25">
      <c r="B88" t="s">
        <v>89</v>
      </c>
      <c r="C88" s="2">
        <v>5.2578361981798528E-3</v>
      </c>
      <c r="D88" s="2">
        <v>1.1265338966002863E-2</v>
      </c>
      <c r="E88" s="2">
        <v>4.3763676148795708E-3</v>
      </c>
      <c r="F88" s="2">
        <v>4.3572984749456244E-3</v>
      </c>
      <c r="G88" s="2">
        <v>8.2823900611319612E-3</v>
      </c>
      <c r="H88" s="2">
        <v>1.1930373557598434E-2</v>
      </c>
      <c r="I88" s="2">
        <v>-1.3529184383456617E-3</v>
      </c>
      <c r="J88" s="2">
        <v>8.1285078382038536E-3</v>
      </c>
      <c r="K88" s="2">
        <v>1.7277788443078304E-3</v>
      </c>
      <c r="L88" s="2">
        <v>4.5994633959373704E-3</v>
      </c>
      <c r="M88" s="2">
        <v>4.5784051888591156E-3</v>
      </c>
      <c r="N88" s="2">
        <v>6.0767185719711138E-3</v>
      </c>
      <c r="O88" s="2">
        <v>4.3412608531522082E-3</v>
      </c>
      <c r="P88" s="2">
        <v>4.1345611727118215E-3</v>
      </c>
      <c r="Q88" s="2">
        <v>7.2992700729927647E-3</v>
      </c>
      <c r="R88" s="2">
        <v>9.1044221479003665E-3</v>
      </c>
      <c r="S88" s="2">
        <v>8.654023200147281E-3</v>
      </c>
      <c r="T88" s="2">
        <v>7.849580138736786E-3</v>
      </c>
      <c r="U88" s="2">
        <v>7.0639376924470825E-3</v>
      </c>
      <c r="V88" s="2">
        <v>5.7553956834532167E-3</v>
      </c>
      <c r="W88" s="2">
        <v>6.0801144492131209E-3</v>
      </c>
      <c r="X88" s="2">
        <v>4.9768929968005892E-3</v>
      </c>
      <c r="Y88" s="2">
        <v>6.0134418111071402E-3</v>
      </c>
      <c r="Z88" s="2">
        <v>4.3952180028128396E-3</v>
      </c>
      <c r="AA88" s="2">
        <v>4.7260633642571374E-3</v>
      </c>
      <c r="AB88" s="2">
        <v>9.5818815331009458E-3</v>
      </c>
      <c r="AC88" s="2">
        <v>0</v>
      </c>
      <c r="AD88" s="2">
        <v>2.5884383088869718E-3</v>
      </c>
      <c r="AE88" s="2">
        <v>3.4423407917384802E-3</v>
      </c>
    </row>
    <row r="89" spans="1:31" x14ac:dyDescent="0.25">
      <c r="B89" t="s">
        <v>90</v>
      </c>
      <c r="C89" s="2">
        <v>-2.5960957939223081E-2</v>
      </c>
      <c r="D89" s="2">
        <v>-2.3966942148760377E-2</v>
      </c>
      <c r="E89" s="2">
        <v>-1.6934801016087098E-3</v>
      </c>
      <c r="F89" s="2">
        <v>8.4817642069549247E-3</v>
      </c>
      <c r="G89" s="2">
        <v>1.6820857863750992E-2</v>
      </c>
      <c r="H89" s="2">
        <v>1.1786600496277952E-2</v>
      </c>
      <c r="I89" s="2">
        <v>8.7880645820560214E-3</v>
      </c>
      <c r="J89" s="2">
        <v>-1.0129659643435406E-3</v>
      </c>
      <c r="K89" s="2">
        <v>6.0839586290809759E-4</v>
      </c>
      <c r="L89" s="2">
        <v>2.2902310498581182E-2</v>
      </c>
      <c r="M89" s="2">
        <v>1.1888250445809392E-2</v>
      </c>
      <c r="N89" s="2">
        <v>-8.8114352849030745E-3</v>
      </c>
      <c r="O89" s="2">
        <v>-1.0667720268668242E-2</v>
      </c>
      <c r="P89" s="2">
        <v>-9.9840255591082672E-4</v>
      </c>
      <c r="Q89" s="2">
        <v>1.2392564461323355E-2</v>
      </c>
      <c r="R89" s="2">
        <v>1.4610069101678025E-2</v>
      </c>
      <c r="S89" s="2">
        <v>1.4983459817085182E-2</v>
      </c>
      <c r="T89" s="2">
        <v>9.5858895705520919E-3</v>
      </c>
      <c r="U89" s="2">
        <v>5.6969236612226164E-4</v>
      </c>
      <c r="V89" s="2">
        <v>7.0222053520593011E-3</v>
      </c>
      <c r="W89" s="2">
        <v>8.4809649453448915E-3</v>
      </c>
      <c r="X89" s="2">
        <v>9.7178097551858713E-3</v>
      </c>
      <c r="Y89" s="2">
        <v>-7.5883768276882061E-3</v>
      </c>
      <c r="Z89" s="2">
        <v>-1.3614323013801E-2</v>
      </c>
      <c r="AA89" s="2">
        <v>4.3486481376444038E-3</v>
      </c>
      <c r="AB89" s="2">
        <v>2.4472891566263665E-3</v>
      </c>
      <c r="AC89" s="2">
        <v>1.8779342723003627E-4</v>
      </c>
      <c r="AD89" s="2">
        <v>5.4449868569282868E-3</v>
      </c>
      <c r="AE89" s="2">
        <v>6.5359477124182479E-3</v>
      </c>
    </row>
    <row r="90" spans="1:31" x14ac:dyDescent="0.25">
      <c r="B90" t="s">
        <v>91</v>
      </c>
      <c r="C90" s="2">
        <v>6.616595135908369E-3</v>
      </c>
      <c r="D90" s="2">
        <v>9.2378752886836842E-3</v>
      </c>
      <c r="E90" s="2">
        <v>-7.0410139060020642E-4</v>
      </c>
      <c r="F90" s="2">
        <v>4.0514356174034781E-3</v>
      </c>
      <c r="G90" s="2">
        <v>1.7017543859649202E-2</v>
      </c>
      <c r="H90" s="2">
        <v>-7.2451267897188486E-3</v>
      </c>
      <c r="I90" s="2">
        <v>1.5638575152040813E-3</v>
      </c>
      <c r="J90" s="2">
        <v>4.1637751561414797E-3</v>
      </c>
      <c r="K90" s="2">
        <v>5.1831375259168673E-4</v>
      </c>
      <c r="L90" s="2">
        <v>3.1082714557071024E-3</v>
      </c>
      <c r="M90" s="2">
        <v>6.8858667584778327E-4</v>
      </c>
      <c r="N90" s="2">
        <v>-2.2363667641491936E-3</v>
      </c>
      <c r="O90" s="2">
        <v>-1.2068965517242163E-3</v>
      </c>
      <c r="P90" s="2">
        <v>2.5893319523562922E-3</v>
      </c>
      <c r="Q90" s="2">
        <v>4.648760330578542E-3</v>
      </c>
      <c r="R90" s="2">
        <v>5.1413881748069059E-4</v>
      </c>
      <c r="S90" s="2">
        <v>1.1990407673861691E-3</v>
      </c>
      <c r="T90" s="2">
        <v>1.7108639863129909E-3</v>
      </c>
      <c r="U90" s="2">
        <v>1.5371477369770011E-3</v>
      </c>
      <c r="V90" s="2">
        <v>1.7053206002727544E-3</v>
      </c>
      <c r="W90" s="2">
        <v>4.5965270684373552E-3</v>
      </c>
      <c r="X90" s="2">
        <v>2.0335536349770067E-3</v>
      </c>
      <c r="Y90" s="2">
        <v>2.8750211398613033E-3</v>
      </c>
      <c r="Z90" s="2">
        <v>2.192242833052296E-3</v>
      </c>
      <c r="AA90" s="2">
        <v>4.038364462392645E-3</v>
      </c>
      <c r="AB90" s="2">
        <v>6.3683593095358471E-3</v>
      </c>
      <c r="AC90" s="2">
        <v>1.6652789342228074E-4</v>
      </c>
      <c r="AD90" s="2">
        <v>4.995004995004995E-3</v>
      </c>
      <c r="AE90" s="2">
        <v>2.4850894632206756E-3</v>
      </c>
    </row>
    <row r="91" spans="1:31" x14ac:dyDescent="0.25">
      <c r="B91" t="s">
        <v>92</v>
      </c>
      <c r="C91" s="2">
        <v>3.4490191851692053E-3</v>
      </c>
      <c r="D91" s="2">
        <v>1.0741138560687556E-2</v>
      </c>
      <c r="E91" s="2">
        <v>4.2507970244420219E-3</v>
      </c>
      <c r="F91" s="2">
        <v>6.13756613756615E-3</v>
      </c>
      <c r="G91" s="2">
        <v>1.7248632730332447E-2</v>
      </c>
      <c r="H91" s="2">
        <v>2.4813895781636303E-3</v>
      </c>
      <c r="I91" s="2">
        <v>3.9191419141915481E-3</v>
      </c>
      <c r="J91" s="2">
        <v>9.4514074378467105E-3</v>
      </c>
      <c r="K91" s="2">
        <v>1.6283329940972003E-3</v>
      </c>
      <c r="L91" s="2">
        <v>6.7059540743750921E-3</v>
      </c>
      <c r="M91" s="2">
        <v>9.0835688332660484E-3</v>
      </c>
      <c r="N91" s="2">
        <v>7.4014802960593032E-3</v>
      </c>
      <c r="O91" s="2">
        <v>8.3399523431295017E-3</v>
      </c>
      <c r="P91" s="2">
        <v>5.513981882630979E-3</v>
      </c>
      <c r="Q91" s="2">
        <v>7.8339208773990261E-3</v>
      </c>
      <c r="R91" s="2">
        <v>1.010493587252227E-2</v>
      </c>
      <c r="S91" s="2">
        <v>9.8114659484419709E-3</v>
      </c>
      <c r="T91" s="2">
        <v>8.5730615355304133E-3</v>
      </c>
      <c r="U91" s="2">
        <v>6.8001511144691459E-3</v>
      </c>
      <c r="V91" s="2">
        <v>6.3789868667917023E-3</v>
      </c>
      <c r="W91" s="2">
        <v>7.8299776286352204E-3</v>
      </c>
      <c r="X91" s="2">
        <v>5.3644099149095298E-3</v>
      </c>
      <c r="Y91" s="2">
        <v>6.439742410303693E-3</v>
      </c>
      <c r="Z91" s="2">
        <v>5.1188299817183291E-3</v>
      </c>
      <c r="AA91" s="2">
        <v>5.092761004001631E-3</v>
      </c>
      <c r="AB91" s="2">
        <v>7.0575461454939351E-3</v>
      </c>
      <c r="AC91" s="2">
        <v>-3.5938903863445447E-4</v>
      </c>
      <c r="AD91" s="2">
        <v>4.1344598238359787E-3</v>
      </c>
      <c r="AE91" s="2">
        <v>2.1482277121376704E-3</v>
      </c>
    </row>
    <row r="92" spans="1:31" x14ac:dyDescent="0.25">
      <c r="B92" t="s">
        <v>93</v>
      </c>
      <c r="C92" s="2">
        <v>4.8420567212356016E-3</v>
      </c>
      <c r="D92" s="2">
        <v>8.4901330885728456E-3</v>
      </c>
      <c r="E92" s="2">
        <v>3.4129692832764505E-3</v>
      </c>
      <c r="F92" s="2">
        <v>4.3083900226756856E-3</v>
      </c>
      <c r="G92" s="2">
        <v>2.2578460149017904E-2</v>
      </c>
      <c r="H92" s="2">
        <v>-1.545595054095739E-3</v>
      </c>
      <c r="I92" s="2">
        <v>8.6245024325518546E-3</v>
      </c>
      <c r="J92" s="2">
        <v>1.1839508879631734E-2</v>
      </c>
      <c r="K92" s="2">
        <v>2.1668472372696492E-3</v>
      </c>
      <c r="L92" s="2">
        <v>6.4864864864866709E-3</v>
      </c>
      <c r="M92" s="2">
        <v>6.874328678839932E-3</v>
      </c>
      <c r="N92" s="2">
        <v>8.5342436526561604E-3</v>
      </c>
      <c r="O92" s="2">
        <v>1.2269938650306773E-2</v>
      </c>
      <c r="P92" s="2">
        <v>1.1076280041797367E-2</v>
      </c>
      <c r="Q92" s="2">
        <v>1.3642000826787857E-2</v>
      </c>
      <c r="R92" s="2">
        <v>1.1623164763458435E-2</v>
      </c>
      <c r="S92" s="2">
        <v>1.0884902237452023E-2</v>
      </c>
      <c r="T92" s="2">
        <v>8.9730807577268201E-3</v>
      </c>
      <c r="U92" s="2">
        <v>8.4980237154150436E-3</v>
      </c>
      <c r="V92" s="2">
        <v>8.0344895159710425E-3</v>
      </c>
      <c r="W92" s="2">
        <v>9.5256609642301263E-3</v>
      </c>
      <c r="X92" s="2">
        <v>5.7770075101097633E-3</v>
      </c>
      <c r="Y92" s="2">
        <v>4.9779820026804953E-3</v>
      </c>
      <c r="Z92" s="2">
        <v>4.762811964183546E-3</v>
      </c>
      <c r="AA92" s="2">
        <v>3.4129692832765802E-3</v>
      </c>
      <c r="AB92" s="2">
        <v>6.6137566137567209E-3</v>
      </c>
      <c r="AC92" s="2">
        <v>0</v>
      </c>
      <c r="AD92" s="2">
        <v>2.8158438145297537E-3</v>
      </c>
      <c r="AE92" s="2">
        <v>2.8079371022085909E-3</v>
      </c>
    </row>
    <row r="93" spans="1:31" x14ac:dyDescent="0.25">
      <c r="B93" t="s">
        <v>94</v>
      </c>
      <c r="C93" s="2">
        <v>3.6996735582154271E-3</v>
      </c>
      <c r="D93" s="2">
        <v>1.0407632263660167E-2</v>
      </c>
      <c r="E93" s="2">
        <v>4.0772532188840709E-3</v>
      </c>
      <c r="F93" s="2">
        <v>5.7704637743107865E-3</v>
      </c>
      <c r="G93" s="2">
        <v>1.7849553761155861E-2</v>
      </c>
      <c r="H93" s="2">
        <v>2.2964509394572501E-3</v>
      </c>
      <c r="I93" s="2">
        <v>4.3740887315141972E-3</v>
      </c>
      <c r="J93" s="2">
        <v>9.5396101202822065E-3</v>
      </c>
      <c r="K93" s="2">
        <v>2.0542317173377739E-3</v>
      </c>
      <c r="L93" s="2">
        <v>6.355063550635494E-3</v>
      </c>
      <c r="M93" s="2">
        <v>8.9631289468321863E-3</v>
      </c>
      <c r="N93" s="2">
        <v>7.2683222289520819E-3</v>
      </c>
      <c r="O93" s="2">
        <v>9.0198436560432957E-3</v>
      </c>
      <c r="P93" s="2">
        <v>6.5554231227653329E-3</v>
      </c>
      <c r="Q93" s="2">
        <v>8.6836392342609144E-3</v>
      </c>
      <c r="R93" s="2">
        <v>9.9784777929955992E-3</v>
      </c>
      <c r="S93" s="2">
        <v>1.0073614877954037E-2</v>
      </c>
      <c r="T93" s="2">
        <v>8.4388185654008553E-3</v>
      </c>
      <c r="U93" s="2">
        <v>7.2270825408899866E-3</v>
      </c>
      <c r="V93" s="2">
        <v>6.6087613293054053E-3</v>
      </c>
      <c r="W93" s="2">
        <v>8.0660288876382019E-3</v>
      </c>
      <c r="X93" s="2">
        <v>5.7685150725716311E-3</v>
      </c>
      <c r="Y93" s="2">
        <v>5.9204440333024766E-3</v>
      </c>
      <c r="Z93" s="2">
        <v>5.1498988412727823E-3</v>
      </c>
      <c r="AA93" s="2">
        <v>4.5745654162855053E-3</v>
      </c>
      <c r="AB93" s="2">
        <v>7.1038251366119286E-3</v>
      </c>
      <c r="AC93" s="2">
        <v>0</v>
      </c>
      <c r="AD93" s="2">
        <v>3.4364261168384471E-3</v>
      </c>
      <c r="AE93" s="2">
        <v>2.7036770007209808E-3</v>
      </c>
    </row>
    <row r="94" spans="1:31" ht="15.6" x14ac:dyDescent="0.3">
      <c r="A94" s="31"/>
      <c r="B94" t="s">
        <v>95</v>
      </c>
      <c r="C94" s="2">
        <v>-4.4191919191920266E-3</v>
      </c>
      <c r="D94" s="2">
        <v>1.331642358909336E-2</v>
      </c>
      <c r="E94" s="2">
        <v>6.2578222778469526E-4</v>
      </c>
      <c r="F94" s="2">
        <v>9.3808630393996239E-3</v>
      </c>
      <c r="G94" s="2">
        <v>1.2391573729862988E-3</v>
      </c>
      <c r="H94" s="2">
        <v>-6.8069306930692722E-3</v>
      </c>
      <c r="I94" s="2">
        <v>6.2305295950155761E-3</v>
      </c>
      <c r="J94" s="2">
        <v>3.7151702786377356E-3</v>
      </c>
      <c r="K94" s="2">
        <v>0</v>
      </c>
      <c r="L94" s="2">
        <v>9.2535471930906849E-3</v>
      </c>
      <c r="M94" s="2">
        <v>3.6674816625916523E-3</v>
      </c>
      <c r="N94" s="2">
        <v>-4.8721071863579964E-3</v>
      </c>
      <c r="O94" s="2">
        <v>6.7319461444308093E-3</v>
      </c>
      <c r="P94" s="2">
        <v>6.0790273556231003E-3</v>
      </c>
      <c r="Q94" s="2">
        <v>-1.2084592145014418E-3</v>
      </c>
      <c r="R94" s="2">
        <v>1.0284331518451231E-2</v>
      </c>
      <c r="S94" s="2">
        <v>2.9940119760479044E-3</v>
      </c>
      <c r="T94" s="2">
        <v>-4.1791044776118723E-3</v>
      </c>
      <c r="U94" s="2">
        <v>5.9952038369304557E-3</v>
      </c>
      <c r="V94" s="2">
        <v>7.1513706793801465E-3</v>
      </c>
      <c r="W94" s="2">
        <v>2.9585798816568047E-3</v>
      </c>
      <c r="X94" s="2">
        <v>1.0029498525073679E-2</v>
      </c>
      <c r="Y94" s="2">
        <v>3.5046728971963948E-3</v>
      </c>
      <c r="Z94" s="2">
        <v>-6.4027939464494921E-3</v>
      </c>
      <c r="AA94" s="2">
        <v>8.201523140011751E-3</v>
      </c>
      <c r="AB94" s="2">
        <v>8.1348053457292614E-3</v>
      </c>
      <c r="AC94" s="2">
        <v>0</v>
      </c>
      <c r="AD94" s="2">
        <v>9.7982708933716921E-3</v>
      </c>
      <c r="AE94" s="2">
        <v>2.2831050228310826E-3</v>
      </c>
    </row>
    <row r="95" spans="1:31" x14ac:dyDescent="0.25">
      <c r="B95" t="s">
        <v>96</v>
      </c>
      <c r="C95" s="2">
        <v>2.435064935064955E-2</v>
      </c>
      <c r="D95" s="2">
        <v>3.2148517093049486E-2</v>
      </c>
      <c r="E95" s="2">
        <v>2.2812020179864018E-2</v>
      </c>
      <c r="F95" s="2">
        <v>4.2890842805058682E-4</v>
      </c>
      <c r="G95" s="2">
        <v>2.1650589496248526E-2</v>
      </c>
      <c r="H95" s="2">
        <v>2.9374737725557936E-3</v>
      </c>
      <c r="I95" s="2">
        <v>6.0669456066943942E-3</v>
      </c>
      <c r="J95" s="2">
        <v>1.1436889166146868E-2</v>
      </c>
      <c r="K95" s="2">
        <v>1.4391447368420234E-3</v>
      </c>
      <c r="L95" s="2">
        <v>9.854239375898315E-3</v>
      </c>
      <c r="M95" s="2">
        <v>-2.2362268753812211E-3</v>
      </c>
      <c r="N95" s="2">
        <v>1.222493887530493E-3</v>
      </c>
      <c r="O95" s="2">
        <v>4.0700040700038389E-4</v>
      </c>
      <c r="P95" s="2">
        <v>9.1537835638732419E-3</v>
      </c>
      <c r="Q95" s="2">
        <v>9.0707518645434387E-3</v>
      </c>
      <c r="R95" s="2">
        <v>3.0763084298841344E-2</v>
      </c>
      <c r="S95" s="2">
        <v>1.4341085271318006E-2</v>
      </c>
      <c r="T95" s="2">
        <v>8.024455483377619E-3</v>
      </c>
      <c r="U95" s="2">
        <v>2.103866565580011E-2</v>
      </c>
      <c r="V95" s="2">
        <v>-4.4551698533507218E-3</v>
      </c>
      <c r="W95" s="2">
        <v>3.915718814096524E-3</v>
      </c>
      <c r="X95" s="2">
        <v>5.3863298662702834E-3</v>
      </c>
      <c r="Y95" s="2">
        <v>4.0642896730095062E-3</v>
      </c>
      <c r="Z95" s="2">
        <v>3.4958601655936485E-3</v>
      </c>
      <c r="AA95" s="2">
        <v>-1.8335166850048557E-4</v>
      </c>
      <c r="AB95" s="2">
        <v>2.2006235099945298E-3</v>
      </c>
      <c r="AC95" s="2">
        <v>-1.0978956999084463E-3</v>
      </c>
      <c r="AD95" s="2">
        <v>-1.0991023997069997E-3</v>
      </c>
      <c r="AE95" s="2">
        <v>6.2350999449845273E-3</v>
      </c>
    </row>
    <row r="96" spans="1:31" x14ac:dyDescent="0.25">
      <c r="B96" t="s">
        <v>97</v>
      </c>
      <c r="C96" s="2">
        <v>2.2291573785109863E-3</v>
      </c>
      <c r="D96" s="2">
        <v>5.782918149466053E-3</v>
      </c>
      <c r="E96" s="2">
        <v>2.2114108801415933E-3</v>
      </c>
      <c r="F96" s="2">
        <v>3.7511032656663474E-3</v>
      </c>
      <c r="G96" s="2">
        <v>1.9125082435700193E-2</v>
      </c>
      <c r="H96" s="2">
        <v>4.3140638481447072E-4</v>
      </c>
      <c r="I96" s="2">
        <v>6.4683053040103496E-3</v>
      </c>
      <c r="J96" s="2">
        <v>1.0282776349614543E-2</v>
      </c>
      <c r="K96" s="2">
        <v>1.0602205258693205E-3</v>
      </c>
      <c r="L96" s="2">
        <v>5.5073077737767904E-3</v>
      </c>
      <c r="M96" s="2">
        <v>5.6878028228353307E-3</v>
      </c>
      <c r="N96" s="2">
        <v>5.6556346878927884E-3</v>
      </c>
      <c r="O96" s="2">
        <v>5.6238283690896312E-3</v>
      </c>
      <c r="P96" s="2">
        <v>4.3496271748138709E-3</v>
      </c>
      <c r="Q96" s="2">
        <v>6.1868426479684763E-3</v>
      </c>
      <c r="R96" s="2">
        <v>7.3785611805698937E-3</v>
      </c>
      <c r="S96" s="2">
        <v>7.527975584943794E-3</v>
      </c>
      <c r="T96" s="2">
        <v>7.2697899838451881E-3</v>
      </c>
      <c r="U96" s="2">
        <v>6.0144346431435444E-3</v>
      </c>
      <c r="V96" s="2">
        <v>6.3770426464726752E-3</v>
      </c>
      <c r="W96" s="2">
        <v>6.1386138613861267E-3</v>
      </c>
      <c r="X96" s="2">
        <v>5.3139145837432233E-3</v>
      </c>
      <c r="Y96" s="2">
        <v>5.8731401722787787E-3</v>
      </c>
      <c r="Z96" s="2">
        <v>3.8925652004670529E-3</v>
      </c>
      <c r="AA96" s="2">
        <v>4.4590926715780436E-3</v>
      </c>
      <c r="AB96" s="2">
        <v>7.527504342791199E-3</v>
      </c>
      <c r="AC96" s="2">
        <v>0</v>
      </c>
      <c r="AD96" s="2">
        <v>2.4904214559385556E-3</v>
      </c>
      <c r="AE96" s="2">
        <v>3.4397095356391806E-3</v>
      </c>
    </row>
    <row r="97" spans="2:31" x14ac:dyDescent="0.25">
      <c r="B97" t="s">
        <v>98</v>
      </c>
      <c r="C97" s="2">
        <v>6.5566835871402468E-3</v>
      </c>
      <c r="D97" s="2">
        <v>1.2607690691321886E-2</v>
      </c>
      <c r="E97" s="2">
        <v>2.6976551151691457E-3</v>
      </c>
      <c r="F97" s="2">
        <v>3.9321192052979657E-3</v>
      </c>
      <c r="G97" s="2">
        <v>2.1026592455163917E-2</v>
      </c>
      <c r="H97" s="2">
        <v>3.0284675953965567E-3</v>
      </c>
      <c r="I97" s="2">
        <v>4.2270531400965495E-3</v>
      </c>
      <c r="J97" s="2">
        <v>6.8149929845663423E-3</v>
      </c>
      <c r="K97" s="2">
        <v>1.5926737009754218E-3</v>
      </c>
      <c r="L97" s="2">
        <v>3.9753528125620581E-3</v>
      </c>
      <c r="M97" s="2">
        <v>4.7515343496336345E-3</v>
      </c>
      <c r="N97" s="2">
        <v>4.334975369458218E-3</v>
      </c>
      <c r="O97" s="2">
        <v>4.9048459878360375E-3</v>
      </c>
      <c r="P97" s="2">
        <v>4.8809058961343773E-3</v>
      </c>
      <c r="Q97" s="2">
        <v>4.8571983679812376E-3</v>
      </c>
      <c r="R97" s="2">
        <v>5.4137664346481269E-3</v>
      </c>
      <c r="S97" s="2">
        <v>4.9999999999997156E-3</v>
      </c>
      <c r="T97" s="2">
        <v>3.6356678147725762E-3</v>
      </c>
      <c r="U97" s="2">
        <v>4.0038131553858545E-3</v>
      </c>
      <c r="V97" s="2">
        <v>4.1777440182302426E-3</v>
      </c>
      <c r="W97" s="2">
        <v>5.6732223903177012E-3</v>
      </c>
      <c r="X97" s="2">
        <v>5.2651372696501057E-3</v>
      </c>
      <c r="Y97" s="2">
        <v>6.1728395061732876E-3</v>
      </c>
      <c r="Z97" s="2">
        <v>7.2504182933628234E-3</v>
      </c>
      <c r="AA97" s="2">
        <v>6.8290882244371456E-3</v>
      </c>
      <c r="AB97" s="2">
        <v>1.1549037580201774E-2</v>
      </c>
      <c r="AC97" s="2">
        <v>0</v>
      </c>
      <c r="AD97" s="2">
        <v>3.4432765494744055E-3</v>
      </c>
      <c r="AE97" s="2">
        <v>3.6120642947443946E-3</v>
      </c>
    </row>
    <row r="98" spans="2:31" x14ac:dyDescent="0.25">
      <c r="B98" t="s">
        <v>99</v>
      </c>
      <c r="C98" s="2">
        <v>8.7553241836250822E-3</v>
      </c>
      <c r="D98" s="2">
        <v>2.2284775979357394E-2</v>
      </c>
      <c r="E98" s="2">
        <v>7.8017439192289515E-3</v>
      </c>
      <c r="F98" s="2">
        <v>2.7322404371583147E-3</v>
      </c>
      <c r="G98" s="2">
        <v>1.5213442325159051E-2</v>
      </c>
      <c r="H98" s="2">
        <v>1.1854171326325106E-2</v>
      </c>
      <c r="I98" s="2">
        <v>1.6136162687887042E-2</v>
      </c>
      <c r="J98" s="2">
        <v>5.2207961714160296E-3</v>
      </c>
      <c r="K98" s="2">
        <v>4.3280675178530327E-4</v>
      </c>
      <c r="L98" s="2">
        <v>1.1031797534068712E-2</v>
      </c>
      <c r="M98" s="2">
        <v>-5.3487376979031737E-3</v>
      </c>
      <c r="N98" s="2">
        <v>5.8077005807700951E-3</v>
      </c>
      <c r="O98" s="2">
        <v>5.1325919589391544E-3</v>
      </c>
      <c r="P98" s="2">
        <v>2.5531914893617384E-3</v>
      </c>
      <c r="Q98" s="2">
        <v>6.1544991511035775E-3</v>
      </c>
      <c r="R98" s="2">
        <v>2.9529635098080514E-2</v>
      </c>
      <c r="S98" s="2">
        <v>2.8682646998565986E-3</v>
      </c>
      <c r="T98" s="2">
        <v>-1.1644535240040893E-2</v>
      </c>
      <c r="U98" s="2">
        <v>3.1004547333610697E-3</v>
      </c>
      <c r="V98" s="2">
        <v>1.8545229754791553E-3</v>
      </c>
      <c r="W98" s="2">
        <v>2.4681201151787982E-3</v>
      </c>
      <c r="X98" s="2">
        <v>3.4878949528108095E-3</v>
      </c>
      <c r="Y98" s="2">
        <v>6.1337149867099353E-4</v>
      </c>
      <c r="Z98" s="2">
        <v>2.451982018798564E-3</v>
      </c>
      <c r="AA98" s="2">
        <v>1.4268242967795464E-3</v>
      </c>
      <c r="AB98" s="2">
        <v>3.4602076124567241E-3</v>
      </c>
      <c r="AC98" s="2">
        <v>0</v>
      </c>
      <c r="AD98" s="2">
        <v>2.0283975659228055E-3</v>
      </c>
      <c r="AE98" s="2">
        <v>1.8218623481782068E-3</v>
      </c>
    </row>
    <row r="99" spans="2:31" x14ac:dyDescent="0.25">
      <c r="B99" t="s">
        <v>100</v>
      </c>
      <c r="C99" s="2">
        <v>7.6113722856502733E-3</v>
      </c>
      <c r="D99" s="2">
        <v>1.2663852477227322E-2</v>
      </c>
      <c r="E99" s="2">
        <v>7.0206230802983514E-3</v>
      </c>
      <c r="F99" s="2">
        <v>4.1394335511982074E-3</v>
      </c>
      <c r="G99" s="2">
        <v>1.6272510305923193E-2</v>
      </c>
      <c r="H99" s="2">
        <v>-5.1238257899230335E-3</v>
      </c>
      <c r="I99" s="2">
        <v>2.5751072961371925E-3</v>
      </c>
      <c r="J99" s="2">
        <v>1.1130136986301468E-2</v>
      </c>
      <c r="K99" s="2">
        <v>4.0220152413208664E-3</v>
      </c>
      <c r="L99" s="2">
        <v>5.4817625975121711E-3</v>
      </c>
      <c r="M99" s="2">
        <v>7.1293772279303362E-3</v>
      </c>
      <c r="N99" s="2">
        <v>4.9968769519051302E-3</v>
      </c>
      <c r="O99" s="2">
        <v>3.7290242386575157E-3</v>
      </c>
      <c r="P99" s="2">
        <v>5.3663570691434934E-3</v>
      </c>
      <c r="Q99" s="2">
        <v>7.3906795319237341E-3</v>
      </c>
      <c r="R99" s="2">
        <v>6.3175056042386558E-3</v>
      </c>
      <c r="S99" s="2">
        <v>4.2527339003644513E-3</v>
      </c>
      <c r="T99" s="2">
        <v>4.0330711837065075E-3</v>
      </c>
      <c r="U99" s="2">
        <v>3.2134966860815311E-3</v>
      </c>
      <c r="V99" s="2">
        <v>3.6036036036035694E-3</v>
      </c>
      <c r="W99" s="2">
        <v>4.1891083183721641E-3</v>
      </c>
      <c r="X99" s="2">
        <v>3.3770361541519151E-3</v>
      </c>
      <c r="Y99" s="2">
        <v>1.7818253811125496E-3</v>
      </c>
      <c r="Z99" s="2">
        <v>2.3715415019763186E-3</v>
      </c>
      <c r="AA99" s="2">
        <v>3.7460567823345082E-3</v>
      </c>
      <c r="AB99" s="2">
        <v>4.7142015321155646E-3</v>
      </c>
      <c r="AC99" s="2">
        <v>0</v>
      </c>
      <c r="AD99" s="2">
        <v>2.3460410557183415E-3</v>
      </c>
      <c r="AE99" s="2">
        <v>2.9256875365710941E-3</v>
      </c>
    </row>
    <row r="100" spans="2:31" x14ac:dyDescent="0.25">
      <c r="B100" t="s">
        <v>101</v>
      </c>
      <c r="C100" s="2">
        <v>-8.3472454090163296E-4</v>
      </c>
      <c r="D100" s="2">
        <v>1.879699248120372E-3</v>
      </c>
      <c r="E100" s="2">
        <v>3.9608088388575716E-3</v>
      </c>
      <c r="F100" s="2">
        <v>8.3056478405310889E-4</v>
      </c>
      <c r="G100" s="2">
        <v>7.0539419087136462E-3</v>
      </c>
      <c r="H100" s="2">
        <v>2.4721878862793926E-3</v>
      </c>
      <c r="I100" s="2">
        <v>8.4258117550349843E-3</v>
      </c>
      <c r="J100" s="2">
        <v>2.0379050336254909E-3</v>
      </c>
      <c r="K100" s="2">
        <v>1.6270083384176419E-3</v>
      </c>
      <c r="L100" s="2">
        <v>1.4213197969544071E-3</v>
      </c>
      <c r="M100" s="2">
        <v>2.4330900243309346E-3</v>
      </c>
      <c r="N100" s="2">
        <v>6.0679611650481984E-4</v>
      </c>
      <c r="O100" s="2">
        <v>1.8192844147969154E-3</v>
      </c>
      <c r="P100" s="2">
        <v>4.2372881355931509E-3</v>
      </c>
      <c r="Q100" s="2">
        <v>3.2147880249144244E-3</v>
      </c>
      <c r="R100" s="2">
        <v>5.0070098137392927E-3</v>
      </c>
      <c r="S100" s="2">
        <v>6.1777600637705852E-3</v>
      </c>
      <c r="T100" s="2">
        <v>6.3378886908298446E-3</v>
      </c>
      <c r="U100" s="2">
        <v>1.3973627238732578E-2</v>
      </c>
      <c r="V100" s="2">
        <v>5.240683229813697E-3</v>
      </c>
      <c r="W100" s="2">
        <v>4.4410117783354975E-3</v>
      </c>
      <c r="X100" s="2">
        <v>1.7301038062284392E-3</v>
      </c>
      <c r="Y100" s="2">
        <v>1.9190174630588045E-3</v>
      </c>
      <c r="Z100" s="2">
        <v>2.1068760773798557E-3</v>
      </c>
      <c r="AA100" s="2">
        <v>1.337920489296723E-3</v>
      </c>
      <c r="AB100" s="2">
        <v>4.0083985493414116E-3</v>
      </c>
      <c r="AC100" s="2">
        <v>0</v>
      </c>
      <c r="AD100" s="2">
        <v>7.6045627376424771E-3</v>
      </c>
      <c r="AE100" s="2">
        <v>4.1509433962265011E-3</v>
      </c>
    </row>
    <row r="101" spans="2:31" x14ac:dyDescent="0.25">
      <c r="B101" t="s">
        <v>102</v>
      </c>
      <c r="C101" s="2">
        <v>-1.9083969465649576E-3</v>
      </c>
      <c r="D101" s="2">
        <v>-6.3734862970044612E-3</v>
      </c>
      <c r="E101" s="2">
        <v>-1.2614924096642976E-2</v>
      </c>
      <c r="F101" s="2">
        <v>1.0394110004330655E-2</v>
      </c>
      <c r="G101" s="2">
        <v>1.8859837119588538E-2</v>
      </c>
      <c r="H101" s="2">
        <v>1.682793437105679E-3</v>
      </c>
      <c r="I101" s="2">
        <v>8.1898362032758257E-3</v>
      </c>
      <c r="J101" s="2">
        <v>-4.1657987919181135E-4</v>
      </c>
      <c r="K101" s="2">
        <v>-2.0837674515522883E-4</v>
      </c>
      <c r="L101" s="2">
        <v>5.0020842017508005E-3</v>
      </c>
      <c r="M101" s="2">
        <v>8.7100788054747646E-3</v>
      </c>
      <c r="N101" s="2">
        <v>2.8782894736842225E-3</v>
      </c>
      <c r="O101" s="2">
        <v>2.4600246002460377E-3</v>
      </c>
      <c r="P101" s="2">
        <v>8.3844580777096573E-3</v>
      </c>
      <c r="Q101" s="2">
        <v>1.6832285540458233E-2</v>
      </c>
      <c r="R101" s="2">
        <v>9.5731950538493586E-3</v>
      </c>
      <c r="S101" s="2">
        <v>-2.1730541288028896E-3</v>
      </c>
      <c r="T101" s="2">
        <v>5.9394179370421693E-3</v>
      </c>
      <c r="U101" s="2">
        <v>2.1649281637471708E-3</v>
      </c>
      <c r="V101" s="2">
        <v>8.8373919874314335E-3</v>
      </c>
      <c r="W101" s="2">
        <v>-1.7519953280126909E-3</v>
      </c>
      <c r="X101" s="2">
        <v>7.0202808112325502E-3</v>
      </c>
      <c r="Y101" s="2">
        <v>8.5205267234701888E-3</v>
      </c>
      <c r="Z101" s="2">
        <v>1.2864823348694404E-2</v>
      </c>
      <c r="AA101" s="2">
        <v>1.5734597156398016E-2</v>
      </c>
      <c r="AB101" s="2">
        <v>1.3624486748786723E-2</v>
      </c>
      <c r="AC101" s="2">
        <v>1.8412815319492702E-4</v>
      </c>
      <c r="AD101" s="2">
        <v>1.6568483063328421E-2</v>
      </c>
      <c r="AE101" s="2">
        <v>6.3382832307133027E-3</v>
      </c>
    </row>
    <row r="102" spans="2:31" x14ac:dyDescent="0.25">
      <c r="B102" t="s">
        <v>103</v>
      </c>
      <c r="C102" s="2">
        <v>4.6326935804102496E-3</v>
      </c>
      <c r="D102" s="2">
        <v>9.8814229249013733E-3</v>
      </c>
      <c r="E102" s="2">
        <v>2.6092628832355227E-3</v>
      </c>
      <c r="F102" s="2">
        <v>3.9037085230967197E-3</v>
      </c>
      <c r="G102" s="2">
        <v>1.5770144739684806E-2</v>
      </c>
      <c r="H102" s="2">
        <v>4.8915355168012639E-3</v>
      </c>
      <c r="I102" s="2">
        <v>9.1005291005291245E-3</v>
      </c>
      <c r="J102" s="2">
        <v>5.2432885906040861E-3</v>
      </c>
      <c r="K102" s="2">
        <v>1.0431879824743826E-3</v>
      </c>
      <c r="L102" s="2">
        <v>6.0441850771154769E-3</v>
      </c>
      <c r="M102" s="2">
        <v>2.4860161591050696E-3</v>
      </c>
      <c r="N102" s="2">
        <v>3.9264310808017717E-3</v>
      </c>
      <c r="O102" s="2">
        <v>4.3227665706051174E-3</v>
      </c>
      <c r="P102" s="2">
        <v>4.7140807542530028E-3</v>
      </c>
      <c r="Q102" s="2">
        <v>6.7319461444308093E-3</v>
      </c>
      <c r="R102" s="2">
        <v>1.3373860182370752E-2</v>
      </c>
      <c r="S102" s="2">
        <v>4.1991601679665091E-3</v>
      </c>
      <c r="T102" s="2">
        <v>1.991238550378222E-4</v>
      </c>
      <c r="U102" s="2">
        <v>5.1761895281704608E-3</v>
      </c>
      <c r="V102" s="2">
        <v>4.3572984749454544E-3</v>
      </c>
      <c r="W102" s="2">
        <v>3.5495957404850778E-3</v>
      </c>
      <c r="X102" s="2">
        <v>4.5195519748477894E-3</v>
      </c>
      <c r="Y102" s="2">
        <v>3.7167449139279677E-3</v>
      </c>
      <c r="Z102" s="2">
        <v>5.0672383550965164E-3</v>
      </c>
      <c r="AA102" s="2">
        <v>4.8477797168897194E-3</v>
      </c>
      <c r="AB102" s="2">
        <v>7.3330760324198264E-3</v>
      </c>
      <c r="AC102" s="2">
        <v>0</v>
      </c>
      <c r="AD102" s="2">
        <v>5.3639846743293602E-3</v>
      </c>
      <c r="AE102" s="2">
        <v>3.8109756097562063E-3</v>
      </c>
    </row>
    <row r="103" spans="2:31" x14ac:dyDescent="0.25">
      <c r="B103" t="s">
        <v>104</v>
      </c>
      <c r="C103" s="2">
        <v>-9.8635886673661879E-3</v>
      </c>
      <c r="D103" s="2">
        <v>-4.2390843577788401E-3</v>
      </c>
      <c r="E103" s="2">
        <v>1.2771392081737999E-3</v>
      </c>
      <c r="F103" s="2">
        <v>6.3775510204079813E-3</v>
      </c>
      <c r="G103" s="2">
        <v>1.6054076890578962E-2</v>
      </c>
      <c r="H103" s="2">
        <v>5.8212058212058441E-3</v>
      </c>
      <c r="I103" s="2">
        <v>7.6477883422901198E-3</v>
      </c>
      <c r="J103" s="2">
        <v>3.2820512820512706E-3</v>
      </c>
      <c r="K103" s="2">
        <v>8.1782866489465804E-4</v>
      </c>
      <c r="L103" s="2">
        <v>1.4096016343207425E-2</v>
      </c>
      <c r="M103" s="2">
        <v>7.050765511684068E-3</v>
      </c>
      <c r="N103" s="2">
        <v>-3.000600120024005E-3</v>
      </c>
      <c r="O103" s="2">
        <v>-2.6083467094701568E-3</v>
      </c>
      <c r="P103" s="2">
        <v>2.4140012070004661E-3</v>
      </c>
      <c r="Q103" s="2">
        <v>9.231386714830413E-3</v>
      </c>
      <c r="R103" s="2">
        <v>1.4316961622589018E-2</v>
      </c>
      <c r="S103" s="2">
        <v>9.6059596157615709E-3</v>
      </c>
      <c r="T103" s="2">
        <v>5.0485436893204332E-3</v>
      </c>
      <c r="U103" s="2">
        <v>4.6367851622875463E-3</v>
      </c>
      <c r="V103" s="2">
        <v>5.1923076923077252E-3</v>
      </c>
      <c r="W103" s="2">
        <v>5.9307442127413601E-3</v>
      </c>
      <c r="X103" s="2">
        <v>7.7976416888551215E-3</v>
      </c>
      <c r="Y103" s="2">
        <v>-2.8307227778824585E-3</v>
      </c>
      <c r="Z103" s="2">
        <v>-2.8387585162757099E-3</v>
      </c>
      <c r="AA103" s="2">
        <v>4.3651546783071548E-3</v>
      </c>
      <c r="AB103" s="2">
        <v>4.3461829176114032E-3</v>
      </c>
      <c r="AC103" s="2">
        <v>0</v>
      </c>
      <c r="AD103" s="2">
        <v>5.2681091251176133E-3</v>
      </c>
      <c r="AE103" s="2">
        <v>5.2405015908664164E-3</v>
      </c>
    </row>
    <row r="104" spans="2:31" ht="15.6" x14ac:dyDescent="0.3">
      <c r="B104" s="31" t="s">
        <v>164</v>
      </c>
      <c r="C104" s="34">
        <v>9.9317817014446141E-2</v>
      </c>
      <c r="D104" s="34">
        <v>0.11735718196751231</v>
      </c>
      <c r="E104" s="34">
        <v>5.7334204508330697E-2</v>
      </c>
      <c r="F104" s="34">
        <v>-2.0546887069365138E-2</v>
      </c>
      <c r="G104" s="34">
        <v>5.5993690851735084E-2</v>
      </c>
      <c r="H104" s="34">
        <v>7.5130694548170285E-2</v>
      </c>
      <c r="I104" s="34">
        <v>2.1672686857460436E-2</v>
      </c>
      <c r="J104" s="34">
        <v>-5.0856676638564163E-2</v>
      </c>
      <c r="K104" s="34">
        <v>4.7707736389684792E-2</v>
      </c>
      <c r="L104" s="34">
        <v>0.12279502256255989</v>
      </c>
      <c r="M104" s="34">
        <v>-1.7902813299232722E-2</v>
      </c>
      <c r="N104" s="34">
        <v>-9.1021825396825434E-2</v>
      </c>
      <c r="O104" s="34">
        <v>0.15511596180081863</v>
      </c>
      <c r="P104" s="34">
        <v>0.11101925121058216</v>
      </c>
      <c r="Q104" s="34">
        <v>0.19985117465717034</v>
      </c>
      <c r="R104" s="34">
        <v>-8.7711526534951761E-2</v>
      </c>
      <c r="S104" s="34">
        <v>6.3513644750898379E-2</v>
      </c>
      <c r="T104" s="34">
        <v>5.9355310017350012E-2</v>
      </c>
      <c r="U104" s="34">
        <v>-9.0681837772605897E-2</v>
      </c>
      <c r="V104" s="34">
        <v>-7.6689733624040093E-2</v>
      </c>
      <c r="W104" s="34">
        <v>-6.8685831622176716E-2</v>
      </c>
      <c r="X104" s="34">
        <v>1.0913901444162818E-2</v>
      </c>
      <c r="Y104" s="34">
        <v>-4.5256270447110204E-2</v>
      </c>
      <c r="Z104" s="34">
        <v>-0.10793832095945177</v>
      </c>
      <c r="AA104" s="34">
        <v>3.6107554417413666E-2</v>
      </c>
      <c r="AB104" s="34">
        <v>1.6806722689075623E-2</v>
      </c>
      <c r="AC104" s="34">
        <v>-4.5454545454545393E-2</v>
      </c>
      <c r="AD104" s="34">
        <v>6.6462948815889974E-2</v>
      </c>
      <c r="AE104" s="34">
        <v>-0.10482330468003821</v>
      </c>
    </row>
    <row r="111" spans="2:31" ht="15.6" x14ac:dyDescent="0.3">
      <c r="C111" s="27" t="s">
        <v>66</v>
      </c>
      <c r="D111" s="31" t="s">
        <v>165</v>
      </c>
    </row>
    <row r="112" spans="2:31" x14ac:dyDescent="0.25">
      <c r="C112" t="s">
        <v>76</v>
      </c>
      <c r="D112" s="33">
        <v>0.49521092132696182</v>
      </c>
    </row>
    <row r="113" spans="3:4" x14ac:dyDescent="0.25">
      <c r="C113" t="s">
        <v>69</v>
      </c>
      <c r="D113" s="33">
        <v>0.44568018115426916</v>
      </c>
    </row>
    <row r="114" spans="3:4" x14ac:dyDescent="0.25">
      <c r="C114" t="s">
        <v>88</v>
      </c>
      <c r="D114" s="33">
        <v>0.28081629500921551</v>
      </c>
    </row>
    <row r="115" spans="3:4" x14ac:dyDescent="0.25">
      <c r="C115" t="s">
        <v>104</v>
      </c>
      <c r="D115" s="33">
        <v>0.23429305844482645</v>
      </c>
    </row>
    <row r="116" spans="3:4" x14ac:dyDescent="0.25">
      <c r="C116" t="s">
        <v>100</v>
      </c>
      <c r="D116" s="33">
        <v>0.21919400826410637</v>
      </c>
    </row>
    <row r="117" spans="3:4" x14ac:dyDescent="0.25">
      <c r="C117" t="s">
        <v>90</v>
      </c>
      <c r="D117" s="33">
        <v>0.21342461591183207</v>
      </c>
    </row>
    <row r="118" spans="3:4" x14ac:dyDescent="0.25">
      <c r="C118" t="s">
        <v>91</v>
      </c>
      <c r="D118" s="33">
        <v>0.20631531984123422</v>
      </c>
    </row>
    <row r="119" spans="3:4" x14ac:dyDescent="0.25">
      <c r="C119" t="s">
        <v>96</v>
      </c>
      <c r="D119" s="33">
        <v>0.19442062730956886</v>
      </c>
    </row>
    <row r="120" spans="3:4" x14ac:dyDescent="0.25">
      <c r="C120" t="s">
        <v>93</v>
      </c>
      <c r="D120" s="33">
        <v>0.1661027232888814</v>
      </c>
    </row>
    <row r="121" spans="3:4" x14ac:dyDescent="0.25">
      <c r="C121" t="s">
        <v>89</v>
      </c>
      <c r="D121" s="33">
        <v>0.16196462792204094</v>
      </c>
    </row>
    <row r="122" spans="3:4" x14ac:dyDescent="0.25">
      <c r="C122" t="s">
        <v>94</v>
      </c>
      <c r="D122" s="33">
        <v>0.13987146898586433</v>
      </c>
    </row>
    <row r="123" spans="3:4" x14ac:dyDescent="0.25">
      <c r="C123" t="s">
        <v>103</v>
      </c>
      <c r="D123" s="33">
        <v>0.13397202634750632</v>
      </c>
    </row>
    <row r="124" spans="3:4" x14ac:dyDescent="0.25">
      <c r="C124" t="s">
        <v>98</v>
      </c>
      <c r="D124" s="33">
        <v>0.13205009744677337</v>
      </c>
    </row>
    <row r="125" spans="3:4" x14ac:dyDescent="0.25">
      <c r="C125" t="s">
        <v>92</v>
      </c>
      <c r="D125" s="33">
        <v>0.12855493436217133</v>
      </c>
    </row>
    <row r="126" spans="3:4" x14ac:dyDescent="0.25">
      <c r="C126" t="s">
        <v>99</v>
      </c>
      <c r="D126" s="33">
        <v>0.12408099044160607</v>
      </c>
    </row>
    <row r="127" spans="3:4" x14ac:dyDescent="0.25">
      <c r="C127" t="s">
        <v>82</v>
      </c>
      <c r="D127" s="33">
        <v>0.12011494885461682</v>
      </c>
    </row>
    <row r="128" spans="3:4" x14ac:dyDescent="0.25">
      <c r="C128" t="s">
        <v>78</v>
      </c>
      <c r="D128" s="33">
        <v>9.1157786511261704E-2</v>
      </c>
    </row>
    <row r="129" spans="3:4" x14ac:dyDescent="0.25">
      <c r="C129" t="s">
        <v>95</v>
      </c>
      <c r="D129" s="33">
        <v>8.9549687985189377E-2</v>
      </c>
    </row>
    <row r="130" spans="3:4" x14ac:dyDescent="0.25">
      <c r="C130" t="s">
        <v>102</v>
      </c>
      <c r="D130" s="33">
        <v>3.3358155631668114E-2</v>
      </c>
    </row>
    <row r="131" spans="3:4" x14ac:dyDescent="0.25">
      <c r="C131" t="s">
        <v>97</v>
      </c>
      <c r="D131" s="33">
        <v>2.1766254353444661E-2</v>
      </c>
    </row>
    <row r="132" spans="3:4" x14ac:dyDescent="0.25">
      <c r="C132" t="s">
        <v>101</v>
      </c>
      <c r="D132" s="33">
        <v>-4.9266888958167457E-2</v>
      </c>
    </row>
    <row r="133" spans="3:4" x14ac:dyDescent="0.25">
      <c r="C133" t="s">
        <v>86</v>
      </c>
      <c r="D133" s="33">
        <v>-9.6307317489000899E-2</v>
      </c>
    </row>
    <row r="134" spans="3:4" x14ac:dyDescent="0.25">
      <c r="C134" t="s">
        <v>84</v>
      </c>
      <c r="D134" s="33">
        <v>-0.15360854616105721</v>
      </c>
    </row>
    <row r="135" spans="3:4" x14ac:dyDescent="0.25">
      <c r="C135" t="s">
        <v>87</v>
      </c>
      <c r="D135" s="33">
        <v>-0.18971443064396271</v>
      </c>
    </row>
    <row r="136" spans="3:4" x14ac:dyDescent="0.25">
      <c r="C136" t="s">
        <v>73</v>
      </c>
      <c r="D136" s="33">
        <v>-0.20585723918586332</v>
      </c>
    </row>
    <row r="137" spans="3:4" x14ac:dyDescent="0.25">
      <c r="C137" t="s">
        <v>71</v>
      </c>
      <c r="D137" s="33">
        <v>-0.28695164868791845</v>
      </c>
    </row>
    <row r="138" spans="3:4" x14ac:dyDescent="0.25">
      <c r="C138" t="s">
        <v>67</v>
      </c>
      <c r="D138" s="33">
        <v>-0.31976679065673252</v>
      </c>
    </row>
  </sheetData>
  <sortState xmlns:xlrd2="http://schemas.microsoft.com/office/spreadsheetml/2017/richdata2" ref="C112:D138">
    <sortCondition descending="1" ref="D112:D138"/>
  </sortState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8DBD-FF72-47C9-AC7E-C518190CD0F3}">
  <dimension ref="A1:P25"/>
  <sheetViews>
    <sheetView topLeftCell="A5" workbookViewId="0">
      <selection activeCell="M21" sqref="M21"/>
    </sheetView>
  </sheetViews>
  <sheetFormatPr defaultRowHeight="13.2" x14ac:dyDescent="0.25"/>
  <cols>
    <col min="3" max="3" width="10.109375" bestFit="1" customWidth="1"/>
    <col min="10" max="10" width="11.44140625" bestFit="1" customWidth="1"/>
    <col min="12" max="12" width="11" bestFit="1" customWidth="1"/>
    <col min="13" max="13" width="10.6640625" bestFit="1" customWidth="1"/>
  </cols>
  <sheetData>
    <row r="1" spans="1:16" ht="15.6" x14ac:dyDescent="0.3">
      <c r="A1" s="24" t="s">
        <v>1</v>
      </c>
      <c r="B1" s="24" t="s">
        <v>37</v>
      </c>
      <c r="C1" s="24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4" t="s">
        <v>46</v>
      </c>
      <c r="I1" s="24" t="s">
        <v>47</v>
      </c>
      <c r="J1" s="24" t="s">
        <v>48</v>
      </c>
      <c r="K1" s="24" t="s">
        <v>49</v>
      </c>
      <c r="L1" s="24" t="s">
        <v>50</v>
      </c>
      <c r="M1" s="24" t="s">
        <v>51</v>
      </c>
      <c r="N1" s="24" t="s">
        <v>54</v>
      </c>
    </row>
    <row r="2" spans="1:16" ht="15.6" x14ac:dyDescent="0.3">
      <c r="A2" s="25">
        <v>2001</v>
      </c>
      <c r="B2" s="26">
        <v>24.02</v>
      </c>
      <c r="C2" s="26">
        <v>25.92</v>
      </c>
      <c r="D2" s="26">
        <v>23.82</v>
      </c>
      <c r="E2" s="26">
        <v>24.82</v>
      </c>
      <c r="F2" s="26">
        <v>26.95</v>
      </c>
      <c r="G2" s="26">
        <v>26.63</v>
      </c>
      <c r="H2" s="26">
        <v>23.99</v>
      </c>
      <c r="I2" s="26">
        <v>25.01</v>
      </c>
      <c r="J2" s="26">
        <v>24.79</v>
      </c>
      <c r="K2" s="26">
        <v>20.05</v>
      </c>
      <c r="L2" s="26">
        <v>18.239999999999998</v>
      </c>
      <c r="M2" s="26">
        <v>18.239999999999998</v>
      </c>
      <c r="N2" s="26">
        <f>AVERAGE(B2:M2)</f>
        <v>23.540000000000003</v>
      </c>
    </row>
    <row r="3" spans="1:16" ht="15.6" x14ac:dyDescent="0.3">
      <c r="A3" s="25">
        <v>2002</v>
      </c>
      <c r="B3" s="26">
        <v>18.920000000000002</v>
      </c>
      <c r="C3" s="26">
        <v>19.53</v>
      </c>
      <c r="D3" s="26">
        <v>23.31</v>
      </c>
      <c r="E3" s="26">
        <v>25.03</v>
      </c>
      <c r="F3" s="26">
        <v>24.99</v>
      </c>
      <c r="G3" s="26">
        <v>24.05</v>
      </c>
      <c r="H3" s="26">
        <v>25.18</v>
      </c>
      <c r="I3" s="26">
        <v>25.86</v>
      </c>
      <c r="J3" s="26">
        <v>27.5</v>
      </c>
      <c r="K3" s="26">
        <v>26.9</v>
      </c>
      <c r="L3" s="26">
        <v>23.68</v>
      </c>
      <c r="M3" s="26">
        <v>27.11</v>
      </c>
      <c r="N3" s="26">
        <f t="shared" ref="N3:N25" si="0">AVERAGE(B3:M3)</f>
        <v>24.338333333333335</v>
      </c>
    </row>
    <row r="4" spans="1:16" ht="15.6" x14ac:dyDescent="0.3">
      <c r="A4" s="25">
        <v>2003</v>
      </c>
      <c r="B4" s="26">
        <v>29.59</v>
      </c>
      <c r="C4" s="26">
        <v>31.31</v>
      </c>
      <c r="D4" s="26">
        <v>28.83</v>
      </c>
      <c r="E4" s="26">
        <v>24.21</v>
      </c>
      <c r="F4" s="26">
        <v>24.99</v>
      </c>
      <c r="G4" s="26">
        <v>26.43</v>
      </c>
      <c r="H4" s="26">
        <v>27.46</v>
      </c>
      <c r="I4" s="26">
        <v>28.66</v>
      </c>
      <c r="J4" s="26">
        <v>26.27</v>
      </c>
      <c r="K4" s="26">
        <v>28.45</v>
      </c>
      <c r="L4" s="26">
        <v>28.23</v>
      </c>
      <c r="M4" s="26">
        <v>28.97</v>
      </c>
      <c r="N4" s="26">
        <f t="shared" si="0"/>
        <v>27.783333333333342</v>
      </c>
    </row>
    <row r="5" spans="1:16" ht="15.6" x14ac:dyDescent="0.3">
      <c r="A5" s="25">
        <v>2004</v>
      </c>
      <c r="B5" s="26">
        <v>30</v>
      </c>
      <c r="C5" s="26">
        <v>29.65</v>
      </c>
      <c r="D5" s="26">
        <v>32.21</v>
      </c>
      <c r="E5" s="26">
        <v>32.369999999999997</v>
      </c>
      <c r="F5" s="26">
        <v>36.08</v>
      </c>
      <c r="G5" s="26">
        <v>34.159999999999997</v>
      </c>
      <c r="H5" s="26">
        <v>36.35</v>
      </c>
      <c r="I5" s="26">
        <v>40.520000000000003</v>
      </c>
      <c r="J5" s="26">
        <v>39.15</v>
      </c>
      <c r="K5" s="26">
        <v>43.38</v>
      </c>
      <c r="L5" s="26">
        <v>38.9</v>
      </c>
      <c r="M5" s="26">
        <v>36.82</v>
      </c>
      <c r="N5" s="26">
        <f t="shared" si="0"/>
        <v>35.799166666666657</v>
      </c>
    </row>
    <row r="6" spans="1:16" ht="15.6" x14ac:dyDescent="0.3">
      <c r="A6" s="25">
        <v>2005</v>
      </c>
      <c r="B6" s="26">
        <v>40.96</v>
      </c>
      <c r="C6" s="26">
        <v>42.67</v>
      </c>
      <c r="D6" s="26">
        <v>49.27</v>
      </c>
      <c r="E6" s="26">
        <v>49.43</v>
      </c>
      <c r="F6" s="26">
        <v>47</v>
      </c>
      <c r="G6" s="26">
        <v>52.72</v>
      </c>
      <c r="H6" s="26">
        <v>55.01</v>
      </c>
      <c r="I6" s="26">
        <v>60.05</v>
      </c>
      <c r="J6" s="26">
        <v>59.74</v>
      </c>
      <c r="K6" s="26">
        <v>56.28</v>
      </c>
      <c r="L6" s="26">
        <v>53.14</v>
      </c>
      <c r="M6" s="26">
        <v>55.05</v>
      </c>
      <c r="N6" s="26">
        <f t="shared" si="0"/>
        <v>51.776666666666664</v>
      </c>
    </row>
    <row r="7" spans="1:16" ht="15.6" x14ac:dyDescent="0.3">
      <c r="A7" s="25">
        <v>2006</v>
      </c>
      <c r="B7" s="26">
        <v>60.54</v>
      </c>
      <c r="C7" s="26">
        <v>58.95</v>
      </c>
      <c r="D7" s="26">
        <v>60.01</v>
      </c>
      <c r="E7" s="26">
        <v>67.06</v>
      </c>
      <c r="F7" s="26">
        <v>67.22</v>
      </c>
      <c r="G7" s="26">
        <v>66.900000000000006</v>
      </c>
      <c r="H7" s="26">
        <v>71.290000000000006</v>
      </c>
      <c r="I7" s="26">
        <v>70.78</v>
      </c>
      <c r="J7" s="26">
        <v>60.93</v>
      </c>
      <c r="K7" s="26">
        <v>57.27</v>
      </c>
      <c r="L7" s="26">
        <v>57.79</v>
      </c>
      <c r="M7" s="26">
        <v>60.34</v>
      </c>
      <c r="N7" s="26">
        <f t="shared" si="0"/>
        <v>63.256666666666661</v>
      </c>
    </row>
    <row r="8" spans="1:16" ht="15.6" x14ac:dyDescent="0.3">
      <c r="A8" s="25">
        <v>2007</v>
      </c>
      <c r="B8" s="26">
        <v>52.53</v>
      </c>
      <c r="C8" s="26">
        <v>56.53</v>
      </c>
      <c r="D8" s="26">
        <v>60.26</v>
      </c>
      <c r="E8" s="26">
        <v>65.48</v>
      </c>
      <c r="F8" s="26">
        <v>65.7</v>
      </c>
      <c r="G8" s="26">
        <v>68.099999999999994</v>
      </c>
      <c r="H8" s="26">
        <v>72.58</v>
      </c>
      <c r="I8" s="26">
        <v>68.98</v>
      </c>
      <c r="J8" s="26">
        <v>74.78</v>
      </c>
      <c r="K8" s="26">
        <v>79.33</v>
      </c>
      <c r="L8" s="26">
        <v>89.11</v>
      </c>
      <c r="M8" s="26">
        <v>87.92</v>
      </c>
      <c r="N8" s="26">
        <f t="shared" si="0"/>
        <v>70.108333333333334</v>
      </c>
    </row>
    <row r="9" spans="1:16" ht="15.6" x14ac:dyDescent="0.3">
      <c r="A9" s="25">
        <v>2008</v>
      </c>
      <c r="B9" s="26">
        <v>89.52</v>
      </c>
      <c r="C9" s="26">
        <v>92.37</v>
      </c>
      <c r="D9" s="26">
        <v>99.76</v>
      </c>
      <c r="E9" s="26">
        <v>105.72</v>
      </c>
      <c r="F9" s="26">
        <v>120.91</v>
      </c>
      <c r="G9" s="26">
        <v>129.72</v>
      </c>
      <c r="H9" s="26">
        <v>132.47</v>
      </c>
      <c r="I9" s="26">
        <v>113.05</v>
      </c>
      <c r="J9" s="26">
        <v>96.81</v>
      </c>
      <c r="K9" s="26">
        <v>69.12</v>
      </c>
      <c r="L9" s="26">
        <v>50.91</v>
      </c>
      <c r="M9" s="26">
        <v>40.61</v>
      </c>
      <c r="N9" s="26">
        <f t="shared" si="0"/>
        <v>95.080833333333317</v>
      </c>
    </row>
    <row r="10" spans="1:16" ht="15.6" x14ac:dyDescent="0.3">
      <c r="A10" s="25">
        <v>2009</v>
      </c>
      <c r="B10" s="26">
        <v>43.99</v>
      </c>
      <c r="C10" s="26">
        <v>43.22</v>
      </c>
      <c r="D10" s="26">
        <v>46.02</v>
      </c>
      <c r="E10" s="26">
        <v>50.14</v>
      </c>
      <c r="F10" s="26">
        <v>58</v>
      </c>
      <c r="G10" s="26">
        <v>69.12</v>
      </c>
      <c r="H10" s="26">
        <v>64.819999999999993</v>
      </c>
      <c r="I10" s="26">
        <v>71.98</v>
      </c>
      <c r="J10" s="26">
        <v>67.7</v>
      </c>
      <c r="K10" s="26">
        <v>73.06</v>
      </c>
      <c r="L10" s="26">
        <v>77.39</v>
      </c>
      <c r="M10" s="26">
        <v>75.02</v>
      </c>
      <c r="N10" s="26">
        <f t="shared" si="0"/>
        <v>61.704999999999991</v>
      </c>
    </row>
    <row r="11" spans="1:16" ht="15.6" x14ac:dyDescent="0.3">
      <c r="A11" s="25">
        <v>2010</v>
      </c>
      <c r="B11" s="26">
        <v>76.61</v>
      </c>
      <c r="C11" s="26">
        <v>73.69</v>
      </c>
      <c r="D11" s="26">
        <v>78.02</v>
      </c>
      <c r="E11" s="26">
        <v>84.08</v>
      </c>
      <c r="F11" s="26">
        <v>76.16</v>
      </c>
      <c r="G11" s="26">
        <v>74.33</v>
      </c>
      <c r="H11" s="26">
        <v>73.540000000000006</v>
      </c>
      <c r="I11" s="26">
        <v>75.13</v>
      </c>
      <c r="J11" s="26">
        <v>76.09</v>
      </c>
      <c r="K11" s="26">
        <v>81.11</v>
      </c>
      <c r="L11" s="26">
        <v>84.26</v>
      </c>
      <c r="M11" s="26">
        <v>89.77</v>
      </c>
      <c r="N11" s="26">
        <f t="shared" si="0"/>
        <v>78.56583333333333</v>
      </c>
      <c r="P11" t="s">
        <v>166</v>
      </c>
    </row>
    <row r="12" spans="1:16" ht="15.6" x14ac:dyDescent="0.3">
      <c r="A12" s="25">
        <v>2011</v>
      </c>
      <c r="B12" s="26">
        <v>93.87</v>
      </c>
      <c r="C12" s="26">
        <v>101.62</v>
      </c>
      <c r="D12" s="26">
        <v>110.71</v>
      </c>
      <c r="E12" s="26">
        <v>118.64</v>
      </c>
      <c r="F12" s="26">
        <v>110.8</v>
      </c>
      <c r="G12" s="26">
        <v>109.99</v>
      </c>
      <c r="H12" s="26">
        <v>112.53</v>
      </c>
      <c r="I12" s="26">
        <v>106.94</v>
      </c>
      <c r="J12" s="26">
        <v>108.79</v>
      </c>
      <c r="K12" s="26">
        <v>106.11</v>
      </c>
      <c r="L12" s="26">
        <v>109.62</v>
      </c>
      <c r="M12" s="26">
        <v>107.19</v>
      </c>
      <c r="N12" s="26">
        <f t="shared" si="0"/>
        <v>108.0675</v>
      </c>
      <c r="P12" t="s">
        <v>167</v>
      </c>
    </row>
    <row r="13" spans="1:16" ht="15.6" x14ac:dyDescent="0.3">
      <c r="A13" s="25">
        <v>2012</v>
      </c>
      <c r="B13" s="26">
        <v>110.47</v>
      </c>
      <c r="C13" s="26">
        <v>117.67</v>
      </c>
      <c r="D13" s="26">
        <v>123.61</v>
      </c>
      <c r="E13" s="26">
        <v>117.97</v>
      </c>
      <c r="F13" s="26">
        <v>108.05</v>
      </c>
      <c r="G13" s="26">
        <v>94.51</v>
      </c>
      <c r="H13" s="26">
        <v>100.34</v>
      </c>
      <c r="I13" s="26">
        <v>110.07</v>
      </c>
      <c r="J13" s="26">
        <v>111.77</v>
      </c>
      <c r="K13" s="26">
        <v>109.79</v>
      </c>
      <c r="L13" s="26">
        <v>107.87</v>
      </c>
      <c r="M13" s="26">
        <v>107.28</v>
      </c>
      <c r="N13" s="26">
        <f t="shared" si="0"/>
        <v>109.94999999999999</v>
      </c>
    </row>
    <row r="14" spans="1:16" ht="15.6" x14ac:dyDescent="0.3">
      <c r="A14" s="25">
        <v>2013</v>
      </c>
      <c r="B14" s="26">
        <v>109.55</v>
      </c>
      <c r="C14" s="26">
        <v>112.68</v>
      </c>
      <c r="D14" s="26">
        <v>106.45</v>
      </c>
      <c r="E14" s="26">
        <v>101.57</v>
      </c>
      <c r="F14" s="26">
        <v>101.1</v>
      </c>
      <c r="G14" s="26">
        <v>101.11</v>
      </c>
      <c r="H14" s="26">
        <v>104.86</v>
      </c>
      <c r="I14" s="26">
        <v>108.45</v>
      </c>
      <c r="J14" s="26">
        <v>109.47</v>
      </c>
      <c r="K14" s="26">
        <v>107.37</v>
      </c>
      <c r="L14" s="26">
        <v>106.55</v>
      </c>
      <c r="M14" s="26">
        <v>108.72</v>
      </c>
      <c r="N14" s="26">
        <f t="shared" si="0"/>
        <v>106.49000000000001</v>
      </c>
      <c r="P14" s="5">
        <v>0.67</v>
      </c>
    </row>
    <row r="15" spans="1:16" ht="15.6" x14ac:dyDescent="0.3">
      <c r="A15" s="25">
        <v>2014</v>
      </c>
      <c r="B15" s="26">
        <v>105.29</v>
      </c>
      <c r="C15" s="26">
        <v>106.19</v>
      </c>
      <c r="D15" s="26">
        <v>105.3</v>
      </c>
      <c r="E15" s="26">
        <v>105.56</v>
      </c>
      <c r="F15" s="26">
        <v>106.85</v>
      </c>
      <c r="G15" s="26">
        <v>109.05</v>
      </c>
      <c r="H15" s="26">
        <v>106.3</v>
      </c>
      <c r="I15" s="26">
        <v>101.89</v>
      </c>
      <c r="J15" s="26">
        <v>96.96</v>
      </c>
      <c r="K15" s="26">
        <v>86.83</v>
      </c>
      <c r="L15" s="26">
        <v>77.58</v>
      </c>
      <c r="M15" s="26">
        <v>61.21</v>
      </c>
      <c r="N15" s="26">
        <f t="shared" si="0"/>
        <v>97.417500000000004</v>
      </c>
      <c r="P15" t="s">
        <v>168</v>
      </c>
    </row>
    <row r="16" spans="1:16" ht="15.6" x14ac:dyDescent="0.3">
      <c r="A16" s="25">
        <v>2015</v>
      </c>
      <c r="B16" s="26">
        <v>46.59</v>
      </c>
      <c r="C16" s="26">
        <v>56.43</v>
      </c>
      <c r="D16" s="26">
        <v>55.18</v>
      </c>
      <c r="E16" s="26">
        <v>59.07</v>
      </c>
      <c r="F16" s="26">
        <v>63.82</v>
      </c>
      <c r="G16" s="26">
        <v>61.75</v>
      </c>
      <c r="H16" s="26">
        <v>56.3</v>
      </c>
      <c r="I16" s="26">
        <v>47.33</v>
      </c>
      <c r="J16" s="26">
        <v>46.1</v>
      </c>
      <c r="K16" s="26">
        <v>46.68</v>
      </c>
      <c r="L16" s="26">
        <v>42.5</v>
      </c>
      <c r="M16" s="26">
        <v>35.68</v>
      </c>
      <c r="N16" s="26">
        <f t="shared" si="0"/>
        <v>51.452499999999993</v>
      </c>
    </row>
    <row r="17" spans="1:16" ht="15.6" x14ac:dyDescent="0.3">
      <c r="A17" s="25">
        <v>2016</v>
      </c>
      <c r="B17" s="26">
        <v>28.08</v>
      </c>
      <c r="C17" s="26">
        <v>30.53</v>
      </c>
      <c r="D17" s="26">
        <v>36.42</v>
      </c>
      <c r="E17" s="26">
        <v>39.880000000000003</v>
      </c>
      <c r="F17" s="26">
        <v>45.01</v>
      </c>
      <c r="G17" s="26">
        <v>46.96</v>
      </c>
      <c r="H17" s="26">
        <v>43.52</v>
      </c>
      <c r="I17" s="26">
        <v>44.38</v>
      </c>
      <c r="J17" s="26">
        <v>44.48</v>
      </c>
      <c r="K17" s="26">
        <v>49.25</v>
      </c>
      <c r="L17" s="26">
        <v>44.46</v>
      </c>
      <c r="M17" s="26">
        <v>52.74</v>
      </c>
      <c r="N17" s="26">
        <f t="shared" si="0"/>
        <v>42.142499999999998</v>
      </c>
      <c r="P17" s="5">
        <v>1.1499999999999999</v>
      </c>
    </row>
    <row r="18" spans="1:16" ht="15.6" x14ac:dyDescent="0.3">
      <c r="A18" s="25">
        <v>2017</v>
      </c>
      <c r="B18" s="26">
        <v>54.08</v>
      </c>
      <c r="C18" s="26">
        <v>54.86</v>
      </c>
      <c r="D18" s="26">
        <v>51.47</v>
      </c>
      <c r="E18" s="26">
        <v>52.49</v>
      </c>
      <c r="F18" s="26">
        <v>50.57</v>
      </c>
      <c r="G18" s="26">
        <v>46.56</v>
      </c>
      <c r="H18" s="26">
        <v>47.86</v>
      </c>
      <c r="I18" s="26">
        <v>50.63</v>
      </c>
      <c r="J18" s="26">
        <v>54.52</v>
      </c>
      <c r="K18" s="26">
        <v>56.06</v>
      </c>
      <c r="L18" s="26">
        <v>61.32</v>
      </c>
      <c r="M18" s="26">
        <v>62.29</v>
      </c>
      <c r="N18" s="26">
        <f t="shared" si="0"/>
        <v>53.55916666666667</v>
      </c>
      <c r="P18" t="s">
        <v>169</v>
      </c>
    </row>
    <row r="19" spans="1:16" ht="15.6" x14ac:dyDescent="0.3">
      <c r="A19" s="25">
        <v>2018</v>
      </c>
      <c r="B19" s="26">
        <v>67.06</v>
      </c>
      <c r="C19" s="26">
        <v>63.54</v>
      </c>
      <c r="D19" s="26">
        <v>63.8</v>
      </c>
      <c r="E19" s="26">
        <v>69.22</v>
      </c>
      <c r="F19" s="26">
        <v>75.25</v>
      </c>
      <c r="G19" s="26">
        <v>73.83</v>
      </c>
      <c r="H19" s="26">
        <v>73.47</v>
      </c>
      <c r="I19" s="26">
        <v>72.53</v>
      </c>
      <c r="J19" s="26">
        <v>77.88</v>
      </c>
      <c r="K19" s="26">
        <v>80.08</v>
      </c>
      <c r="L19" s="26">
        <v>65.400000000000006</v>
      </c>
      <c r="M19" s="26">
        <v>57.77</v>
      </c>
      <c r="N19" s="26">
        <f t="shared" si="0"/>
        <v>69.985833333333332</v>
      </c>
    </row>
    <row r="20" spans="1:16" ht="15.6" x14ac:dyDescent="0.3">
      <c r="A20" s="25">
        <v>2019</v>
      </c>
      <c r="B20" s="26">
        <v>59.27</v>
      </c>
      <c r="C20" s="26">
        <v>64.53</v>
      </c>
      <c r="D20" s="26">
        <v>66.739999999999995</v>
      </c>
      <c r="E20" s="26">
        <v>71</v>
      </c>
      <c r="F20" s="26">
        <v>70.010000000000005</v>
      </c>
      <c r="G20" s="26">
        <v>62.37</v>
      </c>
      <c r="H20" s="26">
        <v>63.63</v>
      </c>
      <c r="I20" s="26">
        <v>59.35</v>
      </c>
      <c r="J20" s="26">
        <v>61.72</v>
      </c>
      <c r="K20" s="26">
        <v>59.7</v>
      </c>
      <c r="L20" s="26">
        <v>62.53</v>
      </c>
      <c r="M20" s="26">
        <v>65.5</v>
      </c>
      <c r="N20" s="26">
        <f t="shared" si="0"/>
        <v>63.862500000000004</v>
      </c>
      <c r="P20" s="5">
        <v>0.75</v>
      </c>
    </row>
    <row r="21" spans="1:16" ht="15.6" x14ac:dyDescent="0.3">
      <c r="A21" s="25">
        <v>2020</v>
      </c>
      <c r="B21" s="26">
        <v>64.31</v>
      </c>
      <c r="C21" s="26">
        <v>54.63</v>
      </c>
      <c r="D21" s="26">
        <v>33.36</v>
      </c>
      <c r="E21" s="26">
        <v>19.899999999999999</v>
      </c>
      <c r="F21" s="26">
        <v>30.61</v>
      </c>
      <c r="G21" s="26">
        <v>40.630000000000003</v>
      </c>
      <c r="H21" s="26">
        <v>43.35</v>
      </c>
      <c r="I21" s="26">
        <v>44.19</v>
      </c>
      <c r="J21" s="26">
        <v>41.35</v>
      </c>
      <c r="K21" s="26">
        <v>40.659999999999997</v>
      </c>
      <c r="L21" s="26">
        <v>43.34</v>
      </c>
      <c r="M21" s="26">
        <v>49.84</v>
      </c>
      <c r="N21" s="26">
        <f t="shared" si="0"/>
        <v>42.180833333333339</v>
      </c>
      <c r="P21" t="s">
        <v>170</v>
      </c>
    </row>
    <row r="22" spans="1:16" ht="15.6" x14ac:dyDescent="0.3">
      <c r="A22" s="25">
        <v>2021</v>
      </c>
      <c r="B22" s="26">
        <v>54.79</v>
      </c>
      <c r="C22" s="26">
        <v>61.22</v>
      </c>
      <c r="D22" s="26">
        <v>64.73</v>
      </c>
      <c r="E22" s="26">
        <v>63.4</v>
      </c>
      <c r="F22" s="26">
        <v>66.95</v>
      </c>
      <c r="G22" s="26">
        <v>71.98</v>
      </c>
      <c r="H22" s="26">
        <v>73.540000000000006</v>
      </c>
      <c r="I22" s="26">
        <v>69.8</v>
      </c>
      <c r="J22" s="26">
        <v>73.13</v>
      </c>
      <c r="K22" s="26">
        <v>82.11</v>
      </c>
      <c r="L22" s="26">
        <v>80.64</v>
      </c>
      <c r="M22" s="26">
        <v>73.3</v>
      </c>
      <c r="N22" s="26">
        <f t="shared" si="0"/>
        <v>69.632500000000007</v>
      </c>
    </row>
    <row r="23" spans="1:16" ht="15.6" x14ac:dyDescent="0.3">
      <c r="A23" s="25">
        <v>2022</v>
      </c>
      <c r="B23" s="26">
        <v>84.67</v>
      </c>
      <c r="C23" s="26">
        <v>94.07</v>
      </c>
      <c r="D23" s="26">
        <v>112.87</v>
      </c>
      <c r="E23" s="26">
        <v>102.97</v>
      </c>
      <c r="F23" s="26">
        <v>109.51</v>
      </c>
      <c r="G23" s="26">
        <v>116.01</v>
      </c>
      <c r="H23" s="26">
        <v>105.49</v>
      </c>
      <c r="I23" s="26">
        <v>97.4</v>
      </c>
      <c r="J23" s="26">
        <v>90.71</v>
      </c>
      <c r="K23" s="26">
        <v>91.7</v>
      </c>
      <c r="L23" s="26">
        <v>87.55</v>
      </c>
      <c r="M23" s="26">
        <v>78.099999999999994</v>
      </c>
      <c r="N23" s="26">
        <f t="shared" si="0"/>
        <v>97.587499999999991</v>
      </c>
    </row>
    <row r="24" spans="1:16" ht="15.6" x14ac:dyDescent="0.3">
      <c r="A24" s="25">
        <v>2023</v>
      </c>
      <c r="B24" s="26">
        <v>80.92</v>
      </c>
      <c r="C24" s="26">
        <v>82.28</v>
      </c>
      <c r="D24" s="26">
        <v>78.540000000000006</v>
      </c>
      <c r="E24" s="26">
        <v>83.76</v>
      </c>
      <c r="F24" s="26">
        <v>74.98</v>
      </c>
      <c r="G24" s="26">
        <v>74.930000000000007</v>
      </c>
      <c r="H24" s="26">
        <v>80.37</v>
      </c>
      <c r="I24" s="26">
        <v>86.43</v>
      </c>
      <c r="J24" s="26">
        <v>93.54</v>
      </c>
      <c r="K24" s="26">
        <v>90.08</v>
      </c>
      <c r="L24" s="26">
        <v>83.46</v>
      </c>
      <c r="M24" s="26">
        <v>77.42</v>
      </c>
      <c r="N24" s="26">
        <f t="shared" si="0"/>
        <v>82.225833333333341</v>
      </c>
    </row>
    <row r="25" spans="1:16" ht="15.6" x14ac:dyDescent="0.3">
      <c r="A25" s="25">
        <v>2024</v>
      </c>
      <c r="B25" s="26">
        <v>79.22</v>
      </c>
      <c r="C25" s="26">
        <v>81.62</v>
      </c>
      <c r="D25" s="26">
        <v>84.49</v>
      </c>
      <c r="E25" s="26">
        <v>89.44</v>
      </c>
      <c r="F25" s="26">
        <v>83.62</v>
      </c>
      <c r="G25" s="26">
        <v>82.55</v>
      </c>
      <c r="H25" s="26">
        <v>84.15</v>
      </c>
      <c r="I25" s="26">
        <v>78.27</v>
      </c>
      <c r="J25" s="26">
        <v>73.69</v>
      </c>
      <c r="K25" s="26">
        <v>75.12</v>
      </c>
      <c r="L25" s="26">
        <v>73.02</v>
      </c>
      <c r="M25" s="26">
        <v>73.34</v>
      </c>
      <c r="N25" s="26">
        <f t="shared" si="0"/>
        <v>79.877499999999998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74"/>
  <sheetViews>
    <sheetView workbookViewId="0"/>
  </sheetViews>
  <sheetFormatPr defaultColWidth="12.6640625" defaultRowHeight="15.75" customHeight="1" x14ac:dyDescent="0.25"/>
  <sheetData>
    <row r="1" spans="1:30" ht="13.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 ht="13.2" x14ac:dyDescent="0.25">
      <c r="A2" s="1" t="s">
        <v>36</v>
      </c>
      <c r="B2" s="1">
        <v>2013</v>
      </c>
      <c r="C2" s="1" t="s">
        <v>37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38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ht="13.2" x14ac:dyDescent="0.25">
      <c r="A3" s="1" t="s">
        <v>39</v>
      </c>
      <c r="B3" s="1">
        <v>2013</v>
      </c>
      <c r="C3" s="1" t="s">
        <v>37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ht="13.2" x14ac:dyDescent="0.25">
      <c r="A4" s="1" t="s">
        <v>40</v>
      </c>
      <c r="B4" s="1">
        <v>2013</v>
      </c>
      <c r="C4" s="1" t="s">
        <v>37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ht="13.2" x14ac:dyDescent="0.25">
      <c r="A5" s="1" t="s">
        <v>36</v>
      </c>
      <c r="B5" s="1">
        <v>2013</v>
      </c>
      <c r="C5" s="1" t="s">
        <v>41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38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ht="13.2" x14ac:dyDescent="0.25">
      <c r="A6" s="1" t="s">
        <v>39</v>
      </c>
      <c r="B6" s="1">
        <v>2013</v>
      </c>
      <c r="C6" s="1" t="s">
        <v>41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ht="13.2" x14ac:dyDescent="0.25">
      <c r="A7" s="1" t="s">
        <v>40</v>
      </c>
      <c r="B7" s="1">
        <v>2013</v>
      </c>
      <c r="C7" s="1" t="s">
        <v>41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ht="13.2" x14ac:dyDescent="0.25">
      <c r="A8" s="1" t="s">
        <v>36</v>
      </c>
      <c r="B8" s="1">
        <v>2013</v>
      </c>
      <c r="C8" s="1" t="s">
        <v>42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38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ht="13.2" x14ac:dyDescent="0.25">
      <c r="A9" s="1" t="s">
        <v>39</v>
      </c>
      <c r="B9" s="1">
        <v>2013</v>
      </c>
      <c r="C9" s="1" t="s">
        <v>42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ht="13.2" x14ac:dyDescent="0.25">
      <c r="A10" s="1" t="s">
        <v>40</v>
      </c>
      <c r="B10" s="1">
        <v>2013</v>
      </c>
      <c r="C10" s="1" t="s">
        <v>42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ht="13.2" x14ac:dyDescent="0.25">
      <c r="A11" s="1" t="s">
        <v>36</v>
      </c>
      <c r="B11" s="1">
        <v>2013</v>
      </c>
      <c r="C11" s="1" t="s">
        <v>43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38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ht="13.2" x14ac:dyDescent="0.25">
      <c r="A12" s="1" t="s">
        <v>39</v>
      </c>
      <c r="B12" s="1">
        <v>2013</v>
      </c>
      <c r="C12" s="1" t="s">
        <v>43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ht="13.2" x14ac:dyDescent="0.25">
      <c r="A13" s="1" t="s">
        <v>40</v>
      </c>
      <c r="B13" s="1">
        <v>2013</v>
      </c>
      <c r="C13" s="1" t="s">
        <v>43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ht="13.2" x14ac:dyDescent="0.25">
      <c r="A14" s="1" t="s">
        <v>36</v>
      </c>
      <c r="B14" s="1">
        <v>2013</v>
      </c>
      <c r="C14" s="1" t="s">
        <v>44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38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ht="13.2" x14ac:dyDescent="0.25">
      <c r="A15" s="1" t="s">
        <v>39</v>
      </c>
      <c r="B15" s="1">
        <v>2013</v>
      </c>
      <c r="C15" s="1" t="s">
        <v>44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ht="13.2" x14ac:dyDescent="0.25">
      <c r="A16" s="1" t="s">
        <v>40</v>
      </c>
      <c r="B16" s="1">
        <v>2013</v>
      </c>
      <c r="C16" s="1" t="s">
        <v>44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ht="13.2" x14ac:dyDescent="0.25">
      <c r="A17" s="1" t="s">
        <v>36</v>
      </c>
      <c r="B17" s="1">
        <v>2013</v>
      </c>
      <c r="C17" s="1" t="s">
        <v>45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38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ht="13.2" x14ac:dyDescent="0.25">
      <c r="A18" s="1" t="s">
        <v>39</v>
      </c>
      <c r="B18" s="1">
        <v>2013</v>
      </c>
      <c r="C18" s="1" t="s">
        <v>45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ht="13.2" x14ac:dyDescent="0.25">
      <c r="A19" s="1" t="s">
        <v>40</v>
      </c>
      <c r="B19" s="1">
        <v>2013</v>
      </c>
      <c r="C19" s="1" t="s">
        <v>45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ht="13.2" x14ac:dyDescent="0.25">
      <c r="A20" s="1" t="s">
        <v>36</v>
      </c>
      <c r="B20" s="1">
        <v>2013</v>
      </c>
      <c r="C20" s="1" t="s">
        <v>46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38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ht="13.2" x14ac:dyDescent="0.25">
      <c r="A21" s="1" t="s">
        <v>39</v>
      </c>
      <c r="B21" s="1">
        <v>2013</v>
      </c>
      <c r="C21" s="1" t="s">
        <v>46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ht="13.2" x14ac:dyDescent="0.25">
      <c r="A22" s="1" t="s">
        <v>40</v>
      </c>
      <c r="B22" s="1">
        <v>2013</v>
      </c>
      <c r="C22" s="1" t="s">
        <v>46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ht="13.2" x14ac:dyDescent="0.25">
      <c r="A23" s="1" t="s">
        <v>36</v>
      </c>
      <c r="B23" s="1">
        <v>2013</v>
      </c>
      <c r="C23" s="1" t="s">
        <v>47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38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ht="13.2" x14ac:dyDescent="0.25">
      <c r="A24" s="1" t="s">
        <v>39</v>
      </c>
      <c r="B24" s="1">
        <v>2013</v>
      </c>
      <c r="C24" s="1" t="s">
        <v>47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ht="13.2" x14ac:dyDescent="0.25">
      <c r="A25" s="1" t="s">
        <v>40</v>
      </c>
      <c r="B25" s="1">
        <v>2013</v>
      </c>
      <c r="C25" s="1" t="s">
        <v>47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ht="13.2" x14ac:dyDescent="0.25">
      <c r="A26" s="1" t="s">
        <v>36</v>
      </c>
      <c r="B26" s="1">
        <v>2013</v>
      </c>
      <c r="C26" s="1" t="s">
        <v>48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38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ht="13.2" x14ac:dyDescent="0.25">
      <c r="A27" s="1" t="s">
        <v>39</v>
      </c>
      <c r="B27" s="1">
        <v>2013</v>
      </c>
      <c r="C27" s="1" t="s">
        <v>48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ht="13.2" x14ac:dyDescent="0.25">
      <c r="A28" s="1" t="s">
        <v>40</v>
      </c>
      <c r="B28" s="1">
        <v>2013</v>
      </c>
      <c r="C28" s="1" t="s">
        <v>48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ht="13.2" x14ac:dyDescent="0.25">
      <c r="A29" s="1" t="s">
        <v>36</v>
      </c>
      <c r="B29" s="1">
        <v>2013</v>
      </c>
      <c r="C29" s="1" t="s">
        <v>49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38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ht="13.2" x14ac:dyDescent="0.25">
      <c r="A30" s="1" t="s">
        <v>39</v>
      </c>
      <c r="B30" s="1">
        <v>2013</v>
      </c>
      <c r="C30" s="1" t="s">
        <v>49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ht="13.2" x14ac:dyDescent="0.25">
      <c r="A31" s="1" t="s">
        <v>40</v>
      </c>
      <c r="B31" s="1">
        <v>2013</v>
      </c>
      <c r="C31" s="1" t="s">
        <v>49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ht="13.2" x14ac:dyDescent="0.25">
      <c r="A32" s="1" t="s">
        <v>36</v>
      </c>
      <c r="B32" s="1">
        <v>2013</v>
      </c>
      <c r="C32" s="1" t="s">
        <v>50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38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ht="13.2" x14ac:dyDescent="0.25">
      <c r="A33" s="1" t="s">
        <v>39</v>
      </c>
      <c r="B33" s="1">
        <v>2013</v>
      </c>
      <c r="C33" s="1" t="s">
        <v>50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ht="13.2" x14ac:dyDescent="0.25">
      <c r="A34" s="1" t="s">
        <v>40</v>
      </c>
      <c r="B34" s="1">
        <v>2013</v>
      </c>
      <c r="C34" s="1" t="s">
        <v>50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ht="13.2" x14ac:dyDescent="0.25">
      <c r="A35" s="1" t="s">
        <v>36</v>
      </c>
      <c r="B35" s="1">
        <v>2013</v>
      </c>
      <c r="C35" s="1" t="s">
        <v>51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38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ht="13.2" x14ac:dyDescent="0.25">
      <c r="A36" s="1" t="s">
        <v>39</v>
      </c>
      <c r="B36" s="1">
        <v>2013</v>
      </c>
      <c r="C36" s="1" t="s">
        <v>51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ht="13.2" x14ac:dyDescent="0.25">
      <c r="A37" s="1" t="s">
        <v>40</v>
      </c>
      <c r="B37" s="1">
        <v>2013</v>
      </c>
      <c r="C37" s="1" t="s">
        <v>51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ht="13.2" x14ac:dyDescent="0.25">
      <c r="A38" s="1" t="s">
        <v>36</v>
      </c>
      <c r="B38" s="1">
        <v>2014</v>
      </c>
      <c r="C38" s="1" t="s">
        <v>37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38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ht="13.2" x14ac:dyDescent="0.25">
      <c r="A39" s="1" t="s">
        <v>39</v>
      </c>
      <c r="B39" s="1">
        <v>2014</v>
      </c>
      <c r="C39" s="1" t="s">
        <v>37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ht="13.2" x14ac:dyDescent="0.25">
      <c r="A40" s="1" t="s">
        <v>40</v>
      </c>
      <c r="B40" s="1">
        <v>2014</v>
      </c>
      <c r="C40" s="1" t="s">
        <v>37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ht="13.2" x14ac:dyDescent="0.25">
      <c r="A41" s="1" t="s">
        <v>36</v>
      </c>
      <c r="B41" s="1">
        <v>2014</v>
      </c>
      <c r="C41" s="1" t="s">
        <v>41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38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ht="13.2" x14ac:dyDescent="0.25">
      <c r="A42" s="1" t="s">
        <v>39</v>
      </c>
      <c r="B42" s="1">
        <v>2014</v>
      </c>
      <c r="C42" s="1" t="s">
        <v>41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ht="13.2" x14ac:dyDescent="0.25">
      <c r="A43" s="1" t="s">
        <v>40</v>
      </c>
      <c r="B43" s="1">
        <v>2014</v>
      </c>
      <c r="C43" s="1" t="s">
        <v>41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ht="13.2" x14ac:dyDescent="0.25">
      <c r="A44" s="1" t="s">
        <v>36</v>
      </c>
      <c r="B44" s="1">
        <v>2014</v>
      </c>
      <c r="C44" s="1" t="s">
        <v>42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38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ht="13.2" x14ac:dyDescent="0.25">
      <c r="A45" s="1" t="s">
        <v>39</v>
      </c>
      <c r="B45" s="1">
        <v>2014</v>
      </c>
      <c r="C45" s="1" t="s">
        <v>42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ht="13.2" x14ac:dyDescent="0.25">
      <c r="A46" s="1" t="s">
        <v>40</v>
      </c>
      <c r="B46" s="1">
        <v>2014</v>
      </c>
      <c r="C46" s="1" t="s">
        <v>171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ht="13.2" x14ac:dyDescent="0.25">
      <c r="A47" s="1" t="s">
        <v>36</v>
      </c>
      <c r="B47" s="1">
        <v>2014</v>
      </c>
      <c r="C47" s="1" t="s">
        <v>43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38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ht="13.2" x14ac:dyDescent="0.25">
      <c r="A48" s="1" t="s">
        <v>39</v>
      </c>
      <c r="B48" s="1">
        <v>2014</v>
      </c>
      <c r="C48" s="1" t="s">
        <v>43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ht="13.2" x14ac:dyDescent="0.25">
      <c r="A49" s="1" t="s">
        <v>40</v>
      </c>
      <c r="B49" s="1">
        <v>2014</v>
      </c>
      <c r="C49" s="1" t="s">
        <v>43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ht="13.2" x14ac:dyDescent="0.25">
      <c r="A50" s="1" t="s">
        <v>36</v>
      </c>
      <c r="B50" s="1">
        <v>2014</v>
      </c>
      <c r="C50" s="1" t="s">
        <v>44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38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ht="13.2" x14ac:dyDescent="0.25">
      <c r="A51" s="1" t="s">
        <v>39</v>
      </c>
      <c r="B51" s="1">
        <v>2014</v>
      </c>
      <c r="C51" s="1" t="s">
        <v>44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ht="13.2" x14ac:dyDescent="0.25">
      <c r="A52" s="1" t="s">
        <v>40</v>
      </c>
      <c r="B52" s="1">
        <v>2014</v>
      </c>
      <c r="C52" s="1" t="s">
        <v>44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ht="13.2" x14ac:dyDescent="0.25">
      <c r="A53" s="1" t="s">
        <v>36</v>
      </c>
      <c r="B53" s="1">
        <v>2014</v>
      </c>
      <c r="C53" s="1" t="s">
        <v>45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38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ht="13.2" x14ac:dyDescent="0.25">
      <c r="A54" s="1" t="s">
        <v>39</v>
      </c>
      <c r="B54" s="1">
        <v>2014</v>
      </c>
      <c r="C54" s="1" t="s">
        <v>45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ht="13.2" x14ac:dyDescent="0.25">
      <c r="A55" s="1" t="s">
        <v>40</v>
      </c>
      <c r="B55" s="1">
        <v>2014</v>
      </c>
      <c r="C55" s="1" t="s">
        <v>45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ht="13.2" x14ac:dyDescent="0.25">
      <c r="A56" s="1" t="s">
        <v>36</v>
      </c>
      <c r="B56" s="1">
        <v>2014</v>
      </c>
      <c r="C56" s="1" t="s">
        <v>46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38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ht="13.2" x14ac:dyDescent="0.25">
      <c r="A57" s="1" t="s">
        <v>39</v>
      </c>
      <c r="B57" s="1">
        <v>2014</v>
      </c>
      <c r="C57" s="1" t="s">
        <v>46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ht="13.2" x14ac:dyDescent="0.25">
      <c r="A58" s="1" t="s">
        <v>40</v>
      </c>
      <c r="B58" s="1">
        <v>2014</v>
      </c>
      <c r="C58" s="1" t="s">
        <v>46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ht="13.2" x14ac:dyDescent="0.25">
      <c r="A59" s="1" t="s">
        <v>36</v>
      </c>
      <c r="B59" s="1">
        <v>2014</v>
      </c>
      <c r="C59" s="1" t="s">
        <v>47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38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ht="13.2" x14ac:dyDescent="0.25">
      <c r="A60" s="1" t="s">
        <v>39</v>
      </c>
      <c r="B60" s="1">
        <v>2014</v>
      </c>
      <c r="C60" s="1" t="s">
        <v>47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ht="13.2" x14ac:dyDescent="0.25">
      <c r="A61" s="1" t="s">
        <v>40</v>
      </c>
      <c r="B61" s="1">
        <v>2014</v>
      </c>
      <c r="C61" s="1" t="s">
        <v>47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ht="13.2" x14ac:dyDescent="0.25">
      <c r="A62" s="1" t="s">
        <v>36</v>
      </c>
      <c r="B62" s="1">
        <v>2014</v>
      </c>
      <c r="C62" s="1" t="s">
        <v>48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38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ht="13.2" x14ac:dyDescent="0.25">
      <c r="A63" s="1" t="s">
        <v>39</v>
      </c>
      <c r="B63" s="1">
        <v>2014</v>
      </c>
      <c r="C63" s="1" t="s">
        <v>48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ht="13.2" x14ac:dyDescent="0.25">
      <c r="A64" s="1" t="s">
        <v>40</v>
      </c>
      <c r="B64" s="1">
        <v>2014</v>
      </c>
      <c r="C64" s="1" t="s">
        <v>48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ht="13.2" x14ac:dyDescent="0.25">
      <c r="A65" s="1" t="s">
        <v>36</v>
      </c>
      <c r="B65" s="1">
        <v>2014</v>
      </c>
      <c r="C65" s="1" t="s">
        <v>49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38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ht="13.2" x14ac:dyDescent="0.25">
      <c r="A66" s="1" t="s">
        <v>39</v>
      </c>
      <c r="B66" s="1">
        <v>2014</v>
      </c>
      <c r="C66" s="1" t="s">
        <v>49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ht="13.2" x14ac:dyDescent="0.25">
      <c r="A67" s="1" t="s">
        <v>40</v>
      </c>
      <c r="B67" s="1">
        <v>2014</v>
      </c>
      <c r="C67" s="1" t="s">
        <v>49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ht="13.2" x14ac:dyDescent="0.25">
      <c r="A68" s="1" t="s">
        <v>36</v>
      </c>
      <c r="B68" s="1">
        <v>2014</v>
      </c>
      <c r="C68" s="1" t="s">
        <v>50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38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ht="13.2" x14ac:dyDescent="0.25">
      <c r="A69" s="1" t="s">
        <v>39</v>
      </c>
      <c r="B69" s="1">
        <v>2014</v>
      </c>
      <c r="C69" s="1" t="s">
        <v>50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ht="13.2" x14ac:dyDescent="0.25">
      <c r="A70" s="1" t="s">
        <v>40</v>
      </c>
      <c r="B70" s="1">
        <v>2014</v>
      </c>
      <c r="C70" s="1" t="s">
        <v>50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ht="13.2" x14ac:dyDescent="0.25">
      <c r="A71" s="1" t="s">
        <v>36</v>
      </c>
      <c r="B71" s="1">
        <v>2014</v>
      </c>
      <c r="C71" s="1" t="s">
        <v>51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38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ht="13.2" x14ac:dyDescent="0.25">
      <c r="A72" s="1" t="s">
        <v>39</v>
      </c>
      <c r="B72" s="1">
        <v>2014</v>
      </c>
      <c r="C72" s="1" t="s">
        <v>51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ht="13.2" x14ac:dyDescent="0.25">
      <c r="A73" s="1" t="s">
        <v>40</v>
      </c>
      <c r="B73" s="1">
        <v>2014</v>
      </c>
      <c r="C73" s="1" t="s">
        <v>51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ht="13.2" x14ac:dyDescent="0.25">
      <c r="A74" s="1" t="s">
        <v>36</v>
      </c>
      <c r="B74" s="1">
        <v>2015</v>
      </c>
      <c r="C74" s="1" t="s">
        <v>37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38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ht="13.2" x14ac:dyDescent="0.25">
      <c r="A75" s="1" t="s">
        <v>39</v>
      </c>
      <c r="B75" s="1">
        <v>2015</v>
      </c>
      <c r="C75" s="1" t="s">
        <v>37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ht="13.2" x14ac:dyDescent="0.25">
      <c r="A76" s="1" t="s">
        <v>40</v>
      </c>
      <c r="B76" s="1">
        <v>2015</v>
      </c>
      <c r="C76" s="1" t="s">
        <v>37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ht="13.2" x14ac:dyDescent="0.25">
      <c r="A77" s="1" t="s">
        <v>36</v>
      </c>
      <c r="B77" s="1">
        <v>2015</v>
      </c>
      <c r="C77" s="1" t="s">
        <v>41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38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ht="13.2" x14ac:dyDescent="0.25">
      <c r="A78" s="1" t="s">
        <v>39</v>
      </c>
      <c r="B78" s="1">
        <v>2015</v>
      </c>
      <c r="C78" s="1" t="s">
        <v>41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ht="13.2" x14ac:dyDescent="0.25">
      <c r="A79" s="1" t="s">
        <v>40</v>
      </c>
      <c r="B79" s="1">
        <v>2015</v>
      </c>
      <c r="C79" s="1" t="s">
        <v>41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ht="13.2" x14ac:dyDescent="0.25">
      <c r="A80" s="1" t="s">
        <v>36</v>
      </c>
      <c r="B80" s="1">
        <v>2015</v>
      </c>
      <c r="C80" s="1" t="s">
        <v>42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38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ht="13.2" x14ac:dyDescent="0.25">
      <c r="A81" s="1" t="s">
        <v>39</v>
      </c>
      <c r="B81" s="1">
        <v>2015</v>
      </c>
      <c r="C81" s="1" t="s">
        <v>42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ht="13.2" x14ac:dyDescent="0.25">
      <c r="A82" s="1" t="s">
        <v>40</v>
      </c>
      <c r="B82" s="1">
        <v>2015</v>
      </c>
      <c r="C82" s="1" t="s">
        <v>42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ht="13.2" x14ac:dyDescent="0.25">
      <c r="A83" s="1" t="s">
        <v>36</v>
      </c>
      <c r="B83" s="1">
        <v>2015</v>
      </c>
      <c r="C83" s="1" t="s">
        <v>43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38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ht="13.2" x14ac:dyDescent="0.25">
      <c r="A84" s="1" t="s">
        <v>39</v>
      </c>
      <c r="B84" s="1">
        <v>2015</v>
      </c>
      <c r="C84" s="1" t="s">
        <v>43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ht="13.2" x14ac:dyDescent="0.25">
      <c r="A85" s="1" t="s">
        <v>40</v>
      </c>
      <c r="B85" s="1">
        <v>2015</v>
      </c>
      <c r="C85" s="1" t="s">
        <v>43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ht="13.2" x14ac:dyDescent="0.25">
      <c r="A86" s="1" t="s">
        <v>36</v>
      </c>
      <c r="B86" s="1">
        <v>2015</v>
      </c>
      <c r="C86" s="1" t="s">
        <v>44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38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ht="13.2" x14ac:dyDescent="0.25">
      <c r="A87" s="1" t="s">
        <v>39</v>
      </c>
      <c r="B87" s="1">
        <v>2015</v>
      </c>
      <c r="C87" s="1" t="s">
        <v>44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ht="13.2" x14ac:dyDescent="0.25">
      <c r="A88" s="1" t="s">
        <v>40</v>
      </c>
      <c r="B88" s="1">
        <v>2015</v>
      </c>
      <c r="C88" s="1" t="s">
        <v>44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ht="13.2" x14ac:dyDescent="0.25">
      <c r="A89" s="1" t="s">
        <v>36</v>
      </c>
      <c r="B89" s="1">
        <v>2015</v>
      </c>
      <c r="C89" s="1" t="s">
        <v>45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38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ht="13.2" x14ac:dyDescent="0.25">
      <c r="A90" s="1" t="s">
        <v>39</v>
      </c>
      <c r="B90" s="1">
        <v>2015</v>
      </c>
      <c r="C90" s="1" t="s">
        <v>45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ht="13.2" x14ac:dyDescent="0.25">
      <c r="A91" s="1" t="s">
        <v>40</v>
      </c>
      <c r="B91" s="1">
        <v>2015</v>
      </c>
      <c r="C91" s="1" t="s">
        <v>45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ht="13.2" x14ac:dyDescent="0.25">
      <c r="A92" s="1" t="s">
        <v>36</v>
      </c>
      <c r="B92" s="1">
        <v>2015</v>
      </c>
      <c r="C92" s="1" t="s">
        <v>46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38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ht="13.2" x14ac:dyDescent="0.25">
      <c r="A93" s="1" t="s">
        <v>39</v>
      </c>
      <c r="B93" s="1">
        <v>2015</v>
      </c>
      <c r="C93" s="1" t="s">
        <v>46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ht="13.2" x14ac:dyDescent="0.25">
      <c r="A94" s="1" t="s">
        <v>40</v>
      </c>
      <c r="B94" s="1">
        <v>2015</v>
      </c>
      <c r="C94" s="1" t="s">
        <v>46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ht="13.2" x14ac:dyDescent="0.25">
      <c r="A95" s="1" t="s">
        <v>36</v>
      </c>
      <c r="B95" s="1">
        <v>2015</v>
      </c>
      <c r="C95" s="1" t="s">
        <v>47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38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ht="13.2" x14ac:dyDescent="0.25">
      <c r="A96" s="1" t="s">
        <v>39</v>
      </c>
      <c r="B96" s="1">
        <v>2015</v>
      </c>
      <c r="C96" s="1" t="s">
        <v>47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ht="13.2" x14ac:dyDescent="0.25">
      <c r="A97" s="1" t="s">
        <v>40</v>
      </c>
      <c r="B97" s="1">
        <v>2015</v>
      </c>
      <c r="C97" s="1" t="s">
        <v>47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ht="13.2" x14ac:dyDescent="0.25">
      <c r="A98" s="1" t="s">
        <v>36</v>
      </c>
      <c r="B98" s="1">
        <v>2015</v>
      </c>
      <c r="C98" s="1" t="s">
        <v>48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38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ht="13.2" x14ac:dyDescent="0.25">
      <c r="A99" s="1" t="s">
        <v>39</v>
      </c>
      <c r="B99" s="1">
        <v>2015</v>
      </c>
      <c r="C99" s="1" t="s">
        <v>48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ht="13.2" x14ac:dyDescent="0.25">
      <c r="A100" s="1" t="s">
        <v>40</v>
      </c>
      <c r="B100" s="1">
        <v>2015</v>
      </c>
      <c r="C100" s="1" t="s">
        <v>48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ht="13.2" x14ac:dyDescent="0.25">
      <c r="A101" s="1" t="s">
        <v>36</v>
      </c>
      <c r="B101" s="1">
        <v>2015</v>
      </c>
      <c r="C101" s="1" t="s">
        <v>49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38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ht="13.2" x14ac:dyDescent="0.25">
      <c r="A102" s="1" t="s">
        <v>39</v>
      </c>
      <c r="B102" s="1">
        <v>2015</v>
      </c>
      <c r="C102" s="1" t="s">
        <v>49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ht="13.2" x14ac:dyDescent="0.25">
      <c r="A103" s="1" t="s">
        <v>40</v>
      </c>
      <c r="B103" s="1">
        <v>2015</v>
      </c>
      <c r="C103" s="1" t="s">
        <v>49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ht="13.2" x14ac:dyDescent="0.25">
      <c r="A104" s="1" t="s">
        <v>36</v>
      </c>
      <c r="B104" s="1">
        <v>2015</v>
      </c>
      <c r="C104" s="1" t="s">
        <v>50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38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ht="13.2" x14ac:dyDescent="0.25">
      <c r="A105" s="1" t="s">
        <v>39</v>
      </c>
      <c r="B105" s="1">
        <v>2015</v>
      </c>
      <c r="C105" s="1" t="s">
        <v>50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ht="13.2" x14ac:dyDescent="0.25">
      <c r="A106" s="1" t="s">
        <v>40</v>
      </c>
      <c r="B106" s="1">
        <v>2015</v>
      </c>
      <c r="C106" s="1" t="s">
        <v>50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ht="13.2" x14ac:dyDescent="0.25">
      <c r="A107" s="1" t="s">
        <v>36</v>
      </c>
      <c r="B107" s="1">
        <v>2015</v>
      </c>
      <c r="C107" s="1" t="s">
        <v>51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38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ht="13.2" x14ac:dyDescent="0.25">
      <c r="A108" s="1" t="s">
        <v>39</v>
      </c>
      <c r="B108" s="1">
        <v>2015</v>
      </c>
      <c r="C108" s="1" t="s">
        <v>51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ht="13.2" x14ac:dyDescent="0.25">
      <c r="A109" s="1" t="s">
        <v>40</v>
      </c>
      <c r="B109" s="1">
        <v>2015</v>
      </c>
      <c r="C109" s="1" t="s">
        <v>51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ht="13.2" x14ac:dyDescent="0.25">
      <c r="A110" s="1" t="s">
        <v>36</v>
      </c>
      <c r="B110" s="1">
        <v>2016</v>
      </c>
      <c r="C110" s="1" t="s">
        <v>37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38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ht="13.2" x14ac:dyDescent="0.25">
      <c r="A111" s="1" t="s">
        <v>39</v>
      </c>
      <c r="B111" s="1">
        <v>2016</v>
      </c>
      <c r="C111" s="1" t="s">
        <v>37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ht="13.2" x14ac:dyDescent="0.25">
      <c r="A112" s="1" t="s">
        <v>40</v>
      </c>
      <c r="B112" s="1">
        <v>2016</v>
      </c>
      <c r="C112" s="1" t="s">
        <v>37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ht="13.2" x14ac:dyDescent="0.25">
      <c r="A113" s="1" t="s">
        <v>36</v>
      </c>
      <c r="B113" s="1">
        <v>2016</v>
      </c>
      <c r="C113" s="1" t="s">
        <v>41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38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ht="13.2" x14ac:dyDescent="0.25">
      <c r="A114" s="1" t="s">
        <v>39</v>
      </c>
      <c r="B114" s="1">
        <v>2016</v>
      </c>
      <c r="C114" s="1" t="s">
        <v>41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ht="13.2" x14ac:dyDescent="0.25">
      <c r="A115" s="1" t="s">
        <v>40</v>
      </c>
      <c r="B115" s="1">
        <v>2016</v>
      </c>
      <c r="C115" s="1" t="s">
        <v>41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ht="13.2" x14ac:dyDescent="0.25">
      <c r="A116" s="1" t="s">
        <v>36</v>
      </c>
      <c r="B116" s="1">
        <v>2016</v>
      </c>
      <c r="C116" s="1" t="s">
        <v>42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38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ht="13.2" x14ac:dyDescent="0.25">
      <c r="A117" s="1" t="s">
        <v>39</v>
      </c>
      <c r="B117" s="1">
        <v>2016</v>
      </c>
      <c r="C117" s="1" t="s">
        <v>42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ht="13.2" x14ac:dyDescent="0.25">
      <c r="A118" s="1" t="s">
        <v>40</v>
      </c>
      <c r="B118" s="1">
        <v>2016</v>
      </c>
      <c r="C118" s="1" t="s">
        <v>42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ht="13.2" x14ac:dyDescent="0.25">
      <c r="A119" s="1" t="s">
        <v>36</v>
      </c>
      <c r="B119" s="1">
        <v>2016</v>
      </c>
      <c r="C119" s="1" t="s">
        <v>43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38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ht="13.2" x14ac:dyDescent="0.25">
      <c r="A120" s="1" t="s">
        <v>39</v>
      </c>
      <c r="B120" s="1">
        <v>2016</v>
      </c>
      <c r="C120" s="1" t="s">
        <v>43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ht="13.2" x14ac:dyDescent="0.25">
      <c r="A121" s="1" t="s">
        <v>40</v>
      </c>
      <c r="B121" s="1">
        <v>2016</v>
      </c>
      <c r="C121" s="1" t="s">
        <v>43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ht="13.2" x14ac:dyDescent="0.25">
      <c r="A122" s="1" t="s">
        <v>36</v>
      </c>
      <c r="B122" s="1">
        <v>2016</v>
      </c>
      <c r="C122" s="1" t="s">
        <v>44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38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ht="13.2" x14ac:dyDescent="0.25">
      <c r="A123" s="1" t="s">
        <v>39</v>
      </c>
      <c r="B123" s="1">
        <v>2016</v>
      </c>
      <c r="C123" s="1" t="s">
        <v>44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ht="13.2" x14ac:dyDescent="0.25">
      <c r="A124" s="1" t="s">
        <v>40</v>
      </c>
      <c r="B124" s="1">
        <v>2016</v>
      </c>
      <c r="C124" s="1" t="s">
        <v>44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ht="13.2" x14ac:dyDescent="0.25">
      <c r="A125" s="1" t="s">
        <v>36</v>
      </c>
      <c r="B125" s="1">
        <v>2016</v>
      </c>
      <c r="C125" s="1" t="s">
        <v>45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38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ht="13.2" x14ac:dyDescent="0.25">
      <c r="A126" s="1" t="s">
        <v>39</v>
      </c>
      <c r="B126" s="1">
        <v>2016</v>
      </c>
      <c r="C126" s="1" t="s">
        <v>45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ht="13.2" x14ac:dyDescent="0.25">
      <c r="A127" s="1" t="s">
        <v>40</v>
      </c>
      <c r="B127" s="1">
        <v>2016</v>
      </c>
      <c r="C127" s="1" t="s">
        <v>45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ht="13.2" x14ac:dyDescent="0.25">
      <c r="A128" s="1" t="s">
        <v>36</v>
      </c>
      <c r="B128" s="1">
        <v>2016</v>
      </c>
      <c r="C128" s="1" t="s">
        <v>46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38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ht="13.2" x14ac:dyDescent="0.25">
      <c r="A129" s="1" t="s">
        <v>39</v>
      </c>
      <c r="B129" s="1">
        <v>2016</v>
      </c>
      <c r="C129" s="1" t="s">
        <v>46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ht="13.2" x14ac:dyDescent="0.25">
      <c r="A130" s="1" t="s">
        <v>40</v>
      </c>
      <c r="B130" s="1">
        <v>2016</v>
      </c>
      <c r="C130" s="1" t="s">
        <v>46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ht="13.2" x14ac:dyDescent="0.25">
      <c r="A131" s="1" t="s">
        <v>36</v>
      </c>
      <c r="B131" s="1">
        <v>2016</v>
      </c>
      <c r="C131" s="1" t="s">
        <v>47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38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ht="13.2" x14ac:dyDescent="0.25">
      <c r="A132" s="1" t="s">
        <v>39</v>
      </c>
      <c r="B132" s="1">
        <v>2016</v>
      </c>
      <c r="C132" s="1" t="s">
        <v>47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ht="13.2" x14ac:dyDescent="0.25">
      <c r="A133" s="1" t="s">
        <v>40</v>
      </c>
      <c r="B133" s="1">
        <v>2016</v>
      </c>
      <c r="C133" s="1" t="s">
        <v>47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ht="13.2" x14ac:dyDescent="0.25">
      <c r="A134" s="1" t="s">
        <v>36</v>
      </c>
      <c r="B134" s="1">
        <v>2016</v>
      </c>
      <c r="C134" s="1" t="s">
        <v>48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38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ht="13.2" x14ac:dyDescent="0.25">
      <c r="A135" s="1" t="s">
        <v>39</v>
      </c>
      <c r="B135" s="1">
        <v>2016</v>
      </c>
      <c r="C135" s="1" t="s">
        <v>48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ht="13.2" x14ac:dyDescent="0.25">
      <c r="A136" s="1" t="s">
        <v>40</v>
      </c>
      <c r="B136" s="1">
        <v>2016</v>
      </c>
      <c r="C136" s="1" t="s">
        <v>48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ht="13.2" x14ac:dyDescent="0.25">
      <c r="A137" s="1" t="s">
        <v>36</v>
      </c>
      <c r="B137" s="1">
        <v>2016</v>
      </c>
      <c r="C137" s="1" t="s">
        <v>49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38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ht="13.2" x14ac:dyDescent="0.25">
      <c r="A138" s="1" t="s">
        <v>39</v>
      </c>
      <c r="B138" s="1">
        <v>2016</v>
      </c>
      <c r="C138" s="1" t="s">
        <v>49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ht="13.2" x14ac:dyDescent="0.25">
      <c r="A139" s="1" t="s">
        <v>40</v>
      </c>
      <c r="B139" s="1">
        <v>2016</v>
      </c>
      <c r="C139" s="1" t="s">
        <v>49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ht="13.2" x14ac:dyDescent="0.25">
      <c r="A140" s="1" t="s">
        <v>36</v>
      </c>
      <c r="B140" s="1">
        <v>2016</v>
      </c>
      <c r="C140" s="1" t="s">
        <v>50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38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ht="13.2" x14ac:dyDescent="0.25">
      <c r="A141" s="1" t="s">
        <v>39</v>
      </c>
      <c r="B141" s="1">
        <v>2016</v>
      </c>
      <c r="C141" s="1" t="s">
        <v>50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ht="13.2" x14ac:dyDescent="0.25">
      <c r="A142" s="1" t="s">
        <v>40</v>
      </c>
      <c r="B142" s="1">
        <v>2016</v>
      </c>
      <c r="C142" s="1" t="s">
        <v>50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ht="13.2" x14ac:dyDescent="0.25">
      <c r="A143" s="1" t="s">
        <v>36</v>
      </c>
      <c r="B143" s="1">
        <v>2016</v>
      </c>
      <c r="C143" s="1" t="s">
        <v>51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38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ht="13.2" x14ac:dyDescent="0.25">
      <c r="A144" s="1" t="s">
        <v>39</v>
      </c>
      <c r="B144" s="1">
        <v>2016</v>
      </c>
      <c r="C144" s="1" t="s">
        <v>51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ht="13.2" x14ac:dyDescent="0.25">
      <c r="A145" s="1" t="s">
        <v>40</v>
      </c>
      <c r="B145" s="1">
        <v>2016</v>
      </c>
      <c r="C145" s="1" t="s">
        <v>51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ht="13.2" x14ac:dyDescent="0.25">
      <c r="A146" s="1" t="s">
        <v>36</v>
      </c>
      <c r="B146" s="1">
        <v>2017</v>
      </c>
      <c r="C146" s="1" t="s">
        <v>37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38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ht="13.2" x14ac:dyDescent="0.25">
      <c r="A147" s="1" t="s">
        <v>39</v>
      </c>
      <c r="B147" s="1">
        <v>2017</v>
      </c>
      <c r="C147" s="1" t="s">
        <v>37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ht="13.2" x14ac:dyDescent="0.25">
      <c r="A148" s="1" t="s">
        <v>40</v>
      </c>
      <c r="B148" s="1">
        <v>2017</v>
      </c>
      <c r="C148" s="1" t="s">
        <v>37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ht="13.2" x14ac:dyDescent="0.25">
      <c r="A149" s="1" t="s">
        <v>36</v>
      </c>
      <c r="B149" s="1">
        <v>2017</v>
      </c>
      <c r="C149" s="1" t="s">
        <v>41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38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ht="13.2" x14ac:dyDescent="0.25">
      <c r="A150" s="1" t="s">
        <v>39</v>
      </c>
      <c r="B150" s="1">
        <v>2017</v>
      </c>
      <c r="C150" s="1" t="s">
        <v>41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ht="13.2" x14ac:dyDescent="0.25">
      <c r="A151" s="1" t="s">
        <v>40</v>
      </c>
      <c r="B151" s="1">
        <v>2017</v>
      </c>
      <c r="C151" s="1" t="s">
        <v>41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ht="13.2" x14ac:dyDescent="0.25">
      <c r="A152" s="1" t="s">
        <v>36</v>
      </c>
      <c r="B152" s="1">
        <v>2017</v>
      </c>
      <c r="C152" s="1" t="s">
        <v>42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38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ht="13.2" x14ac:dyDescent="0.25">
      <c r="A153" s="1" t="s">
        <v>39</v>
      </c>
      <c r="B153" s="1">
        <v>2017</v>
      </c>
      <c r="C153" s="1" t="s">
        <v>42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ht="13.2" x14ac:dyDescent="0.25">
      <c r="A154" s="1" t="s">
        <v>40</v>
      </c>
      <c r="B154" s="1">
        <v>2017</v>
      </c>
      <c r="C154" s="1" t="s">
        <v>42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ht="13.2" x14ac:dyDescent="0.25">
      <c r="A155" s="1" t="s">
        <v>36</v>
      </c>
      <c r="B155" s="1">
        <v>2017</v>
      </c>
      <c r="C155" s="1" t="s">
        <v>43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38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ht="13.2" x14ac:dyDescent="0.25">
      <c r="A156" s="1" t="s">
        <v>39</v>
      </c>
      <c r="B156" s="1">
        <v>2017</v>
      </c>
      <c r="C156" s="1" t="s">
        <v>43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ht="13.2" x14ac:dyDescent="0.25">
      <c r="A157" s="1" t="s">
        <v>40</v>
      </c>
      <c r="B157" s="1">
        <v>2017</v>
      </c>
      <c r="C157" s="1" t="s">
        <v>43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ht="13.2" x14ac:dyDescent="0.25">
      <c r="A158" s="1" t="s">
        <v>36</v>
      </c>
      <c r="B158" s="1">
        <v>2017</v>
      </c>
      <c r="C158" s="1" t="s">
        <v>44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38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ht="13.2" x14ac:dyDescent="0.25">
      <c r="A159" s="1" t="s">
        <v>39</v>
      </c>
      <c r="B159" s="1">
        <v>2017</v>
      </c>
      <c r="C159" s="1" t="s">
        <v>44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ht="13.2" x14ac:dyDescent="0.25">
      <c r="A160" s="1" t="s">
        <v>40</v>
      </c>
      <c r="B160" s="1">
        <v>2017</v>
      </c>
      <c r="C160" s="1" t="s">
        <v>44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ht="13.2" x14ac:dyDescent="0.25">
      <c r="A161" s="1" t="s">
        <v>36</v>
      </c>
      <c r="B161" s="1">
        <v>2017</v>
      </c>
      <c r="C161" s="1" t="s">
        <v>45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38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ht="13.2" x14ac:dyDescent="0.25">
      <c r="A162" s="1" t="s">
        <v>39</v>
      </c>
      <c r="B162" s="1">
        <v>2017</v>
      </c>
      <c r="C162" s="1" t="s">
        <v>45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ht="13.2" x14ac:dyDescent="0.25">
      <c r="A163" s="1" t="s">
        <v>40</v>
      </c>
      <c r="B163" s="1">
        <v>2017</v>
      </c>
      <c r="C163" s="1" t="s">
        <v>45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ht="13.2" x14ac:dyDescent="0.25">
      <c r="A164" s="1" t="s">
        <v>36</v>
      </c>
      <c r="B164" s="1">
        <v>2017</v>
      </c>
      <c r="C164" s="1" t="s">
        <v>46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38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ht="13.2" x14ac:dyDescent="0.25">
      <c r="A165" s="1" t="s">
        <v>39</v>
      </c>
      <c r="B165" s="1">
        <v>2017</v>
      </c>
      <c r="C165" s="1" t="s">
        <v>46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ht="13.2" x14ac:dyDescent="0.25">
      <c r="A166" s="1" t="s">
        <v>40</v>
      </c>
      <c r="B166" s="1">
        <v>2017</v>
      </c>
      <c r="C166" s="1" t="s">
        <v>46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ht="13.2" x14ac:dyDescent="0.25">
      <c r="A167" s="1" t="s">
        <v>36</v>
      </c>
      <c r="B167" s="1">
        <v>2017</v>
      </c>
      <c r="C167" s="1" t="s">
        <v>47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38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ht="13.2" x14ac:dyDescent="0.25">
      <c r="A168" s="1" t="s">
        <v>39</v>
      </c>
      <c r="B168" s="1">
        <v>2017</v>
      </c>
      <c r="C168" s="1" t="s">
        <v>47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ht="13.2" x14ac:dyDescent="0.25">
      <c r="A169" s="1" t="s">
        <v>40</v>
      </c>
      <c r="B169" s="1">
        <v>2017</v>
      </c>
      <c r="C169" s="1" t="s">
        <v>47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ht="13.2" x14ac:dyDescent="0.25">
      <c r="A170" s="1" t="s">
        <v>36</v>
      </c>
      <c r="B170" s="1">
        <v>2017</v>
      </c>
      <c r="C170" s="1" t="s">
        <v>48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38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ht="13.2" x14ac:dyDescent="0.25">
      <c r="A171" s="1" t="s">
        <v>39</v>
      </c>
      <c r="B171" s="1">
        <v>2017</v>
      </c>
      <c r="C171" s="1" t="s">
        <v>48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ht="13.2" x14ac:dyDescent="0.25">
      <c r="A172" s="1" t="s">
        <v>40</v>
      </c>
      <c r="B172" s="1">
        <v>2017</v>
      </c>
      <c r="C172" s="1" t="s">
        <v>48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ht="13.2" x14ac:dyDescent="0.25">
      <c r="A173" s="1" t="s">
        <v>36</v>
      </c>
      <c r="B173" s="1">
        <v>2017</v>
      </c>
      <c r="C173" s="1" t="s">
        <v>49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38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ht="13.2" x14ac:dyDescent="0.25">
      <c r="A174" s="1" t="s">
        <v>39</v>
      </c>
      <c r="B174" s="1">
        <v>2017</v>
      </c>
      <c r="C174" s="1" t="s">
        <v>49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ht="13.2" x14ac:dyDescent="0.25">
      <c r="A175" s="1" t="s">
        <v>40</v>
      </c>
      <c r="B175" s="1">
        <v>2017</v>
      </c>
      <c r="C175" s="1" t="s">
        <v>49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ht="13.2" x14ac:dyDescent="0.25">
      <c r="A176" s="1" t="s">
        <v>36</v>
      </c>
      <c r="B176" s="1">
        <v>2017</v>
      </c>
      <c r="C176" s="1" t="s">
        <v>50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38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ht="13.2" x14ac:dyDescent="0.25">
      <c r="A177" s="1" t="s">
        <v>39</v>
      </c>
      <c r="B177" s="1">
        <v>2017</v>
      </c>
      <c r="C177" s="1" t="s">
        <v>50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ht="13.2" x14ac:dyDescent="0.25">
      <c r="A178" s="1" t="s">
        <v>40</v>
      </c>
      <c r="B178" s="1">
        <v>2017</v>
      </c>
      <c r="C178" s="1" t="s">
        <v>50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ht="13.2" x14ac:dyDescent="0.25">
      <c r="A179" s="1" t="s">
        <v>36</v>
      </c>
      <c r="B179" s="1">
        <v>2017</v>
      </c>
      <c r="C179" s="1" t="s">
        <v>51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38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ht="13.2" x14ac:dyDescent="0.25">
      <c r="A180" s="1" t="s">
        <v>39</v>
      </c>
      <c r="B180" s="1">
        <v>2017</v>
      </c>
      <c r="C180" s="1" t="s">
        <v>51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ht="13.2" x14ac:dyDescent="0.25">
      <c r="A181" s="1" t="s">
        <v>40</v>
      </c>
      <c r="B181" s="1">
        <v>2017</v>
      </c>
      <c r="C181" s="1" t="s">
        <v>51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ht="13.2" x14ac:dyDescent="0.25">
      <c r="A182" s="1" t="s">
        <v>36</v>
      </c>
      <c r="B182" s="1">
        <v>2018</v>
      </c>
      <c r="C182" s="1" t="s">
        <v>37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38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ht="13.2" x14ac:dyDescent="0.25">
      <c r="A183" s="1" t="s">
        <v>39</v>
      </c>
      <c r="B183" s="1">
        <v>2018</v>
      </c>
      <c r="C183" s="1" t="s">
        <v>37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ht="13.2" x14ac:dyDescent="0.25">
      <c r="A184" s="1" t="s">
        <v>40</v>
      </c>
      <c r="B184" s="1">
        <v>2018</v>
      </c>
      <c r="C184" s="1" t="s">
        <v>37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ht="13.2" x14ac:dyDescent="0.25">
      <c r="A185" s="1" t="s">
        <v>36</v>
      </c>
      <c r="B185" s="1">
        <v>2018</v>
      </c>
      <c r="C185" s="1" t="s">
        <v>41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38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ht="13.2" x14ac:dyDescent="0.25">
      <c r="A186" s="1" t="s">
        <v>39</v>
      </c>
      <c r="B186" s="1">
        <v>2018</v>
      </c>
      <c r="C186" s="1" t="s">
        <v>41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ht="13.2" x14ac:dyDescent="0.25">
      <c r="A187" s="1" t="s">
        <v>40</v>
      </c>
      <c r="B187" s="1">
        <v>2018</v>
      </c>
      <c r="C187" s="1" t="s">
        <v>41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ht="13.2" x14ac:dyDescent="0.25">
      <c r="A188" s="1" t="s">
        <v>36</v>
      </c>
      <c r="B188" s="1">
        <v>2018</v>
      </c>
      <c r="C188" s="1" t="s">
        <v>42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38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ht="13.2" x14ac:dyDescent="0.25">
      <c r="A189" s="1" t="s">
        <v>39</v>
      </c>
      <c r="B189" s="1">
        <v>2018</v>
      </c>
      <c r="C189" s="1" t="s">
        <v>42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ht="13.2" x14ac:dyDescent="0.25">
      <c r="A190" s="1" t="s">
        <v>40</v>
      </c>
      <c r="B190" s="1">
        <v>2018</v>
      </c>
      <c r="C190" s="1" t="s">
        <v>42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ht="13.2" x14ac:dyDescent="0.25">
      <c r="A191" s="1" t="s">
        <v>36</v>
      </c>
      <c r="B191" s="1">
        <v>2018</v>
      </c>
      <c r="C191" s="1" t="s">
        <v>43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38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ht="13.2" x14ac:dyDescent="0.25">
      <c r="A192" s="1" t="s">
        <v>39</v>
      </c>
      <c r="B192" s="1">
        <v>2018</v>
      </c>
      <c r="C192" s="1" t="s">
        <v>43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ht="13.2" x14ac:dyDescent="0.25">
      <c r="A193" s="1" t="s">
        <v>40</v>
      </c>
      <c r="B193" s="1">
        <v>2018</v>
      </c>
      <c r="C193" s="1" t="s">
        <v>43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ht="13.2" x14ac:dyDescent="0.25">
      <c r="A194" s="1" t="s">
        <v>36</v>
      </c>
      <c r="B194" s="1">
        <v>2018</v>
      </c>
      <c r="C194" s="1" t="s">
        <v>44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38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ht="13.2" x14ac:dyDescent="0.25">
      <c r="A195" s="1" t="s">
        <v>39</v>
      </c>
      <c r="B195" s="1">
        <v>2018</v>
      </c>
      <c r="C195" s="1" t="s">
        <v>44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ht="13.2" x14ac:dyDescent="0.25">
      <c r="A196" s="1" t="s">
        <v>40</v>
      </c>
      <c r="B196" s="1">
        <v>2018</v>
      </c>
      <c r="C196" s="1" t="s">
        <v>44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ht="13.2" x14ac:dyDescent="0.25">
      <c r="A197" s="1" t="s">
        <v>36</v>
      </c>
      <c r="B197" s="1">
        <v>2018</v>
      </c>
      <c r="C197" s="1" t="s">
        <v>45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38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ht="13.2" x14ac:dyDescent="0.25">
      <c r="A198" s="1" t="s">
        <v>39</v>
      </c>
      <c r="B198" s="1">
        <v>2018</v>
      </c>
      <c r="C198" s="1" t="s">
        <v>45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ht="13.2" x14ac:dyDescent="0.25">
      <c r="A199" s="1" t="s">
        <v>40</v>
      </c>
      <c r="B199" s="1">
        <v>2018</v>
      </c>
      <c r="C199" s="1" t="s">
        <v>45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ht="13.2" x14ac:dyDescent="0.25">
      <c r="A200" s="1" t="s">
        <v>36</v>
      </c>
      <c r="B200" s="1">
        <v>2018</v>
      </c>
      <c r="C200" s="1" t="s">
        <v>46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38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ht="13.2" x14ac:dyDescent="0.25">
      <c r="A201" s="1" t="s">
        <v>39</v>
      </c>
      <c r="B201" s="1">
        <v>2018</v>
      </c>
      <c r="C201" s="1" t="s">
        <v>46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ht="13.2" x14ac:dyDescent="0.25">
      <c r="A202" s="1" t="s">
        <v>40</v>
      </c>
      <c r="B202" s="1">
        <v>2018</v>
      </c>
      <c r="C202" s="1" t="s">
        <v>46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ht="13.2" x14ac:dyDescent="0.25">
      <c r="A203" s="1" t="s">
        <v>36</v>
      </c>
      <c r="B203" s="1">
        <v>2018</v>
      </c>
      <c r="C203" s="1" t="s">
        <v>47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38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ht="13.2" x14ac:dyDescent="0.25">
      <c r="A204" s="1" t="s">
        <v>39</v>
      </c>
      <c r="B204" s="1">
        <v>2018</v>
      </c>
      <c r="C204" s="1" t="s">
        <v>47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ht="13.2" x14ac:dyDescent="0.25">
      <c r="A205" s="1" t="s">
        <v>40</v>
      </c>
      <c r="B205" s="1">
        <v>2018</v>
      </c>
      <c r="C205" s="1" t="s">
        <v>47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ht="13.2" x14ac:dyDescent="0.25">
      <c r="A206" s="1" t="s">
        <v>36</v>
      </c>
      <c r="B206" s="1">
        <v>2018</v>
      </c>
      <c r="C206" s="1" t="s">
        <v>48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38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ht="13.2" x14ac:dyDescent="0.25">
      <c r="A207" s="1" t="s">
        <v>39</v>
      </c>
      <c r="B207" s="1">
        <v>2018</v>
      </c>
      <c r="C207" s="1" t="s">
        <v>48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ht="13.2" x14ac:dyDescent="0.25">
      <c r="A208" s="1" t="s">
        <v>40</v>
      </c>
      <c r="B208" s="1">
        <v>2018</v>
      </c>
      <c r="C208" s="1" t="s">
        <v>48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ht="13.2" x14ac:dyDescent="0.25">
      <c r="A209" s="1" t="s">
        <v>36</v>
      </c>
      <c r="B209" s="1">
        <v>2018</v>
      </c>
      <c r="C209" s="1" t="s">
        <v>49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38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ht="13.2" x14ac:dyDescent="0.25">
      <c r="A210" s="1" t="s">
        <v>39</v>
      </c>
      <c r="B210" s="1">
        <v>2018</v>
      </c>
      <c r="C210" s="1" t="s">
        <v>49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ht="13.2" x14ac:dyDescent="0.25">
      <c r="A211" s="1" t="s">
        <v>40</v>
      </c>
      <c r="B211" s="1">
        <v>2018</v>
      </c>
      <c r="C211" s="1" t="s">
        <v>49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ht="13.2" x14ac:dyDescent="0.25">
      <c r="A212" s="1" t="s">
        <v>36</v>
      </c>
      <c r="B212" s="1">
        <v>2018</v>
      </c>
      <c r="C212" s="1" t="s">
        <v>50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38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ht="13.2" x14ac:dyDescent="0.25">
      <c r="A213" s="1" t="s">
        <v>39</v>
      </c>
      <c r="B213" s="1">
        <v>2018</v>
      </c>
      <c r="C213" s="1" t="s">
        <v>50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ht="13.2" x14ac:dyDescent="0.25">
      <c r="A214" s="1" t="s">
        <v>40</v>
      </c>
      <c r="B214" s="1">
        <v>2018</v>
      </c>
      <c r="C214" s="1" t="s">
        <v>50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ht="13.2" x14ac:dyDescent="0.25">
      <c r="A215" s="1" t="s">
        <v>36</v>
      </c>
      <c r="B215" s="1">
        <v>2018</v>
      </c>
      <c r="C215" s="1" t="s">
        <v>51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38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ht="13.2" x14ac:dyDescent="0.25">
      <c r="A216" s="1" t="s">
        <v>39</v>
      </c>
      <c r="B216" s="1">
        <v>2018</v>
      </c>
      <c r="C216" s="1" t="s">
        <v>51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ht="13.2" x14ac:dyDescent="0.25">
      <c r="A217" s="1" t="s">
        <v>40</v>
      </c>
      <c r="B217" s="1">
        <v>2018</v>
      </c>
      <c r="C217" s="1" t="s">
        <v>51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ht="13.2" x14ac:dyDescent="0.25">
      <c r="A218" s="1" t="s">
        <v>36</v>
      </c>
      <c r="B218" s="1">
        <v>2019</v>
      </c>
      <c r="C218" s="1" t="s">
        <v>37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38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ht="13.2" x14ac:dyDescent="0.25">
      <c r="A219" s="1" t="s">
        <v>39</v>
      </c>
      <c r="B219" s="1">
        <v>2019</v>
      </c>
      <c r="C219" s="1" t="s">
        <v>37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ht="13.2" x14ac:dyDescent="0.25">
      <c r="A220" s="1" t="s">
        <v>40</v>
      </c>
      <c r="B220" s="1">
        <v>2019</v>
      </c>
      <c r="C220" s="1" t="s">
        <v>37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ht="13.2" x14ac:dyDescent="0.25">
      <c r="A221" s="1" t="s">
        <v>36</v>
      </c>
      <c r="B221" s="1">
        <v>2019</v>
      </c>
      <c r="C221" s="1" t="s">
        <v>41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38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ht="13.2" x14ac:dyDescent="0.25">
      <c r="A222" s="1" t="s">
        <v>39</v>
      </c>
      <c r="B222" s="1">
        <v>2019</v>
      </c>
      <c r="C222" s="1" t="s">
        <v>41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ht="13.2" x14ac:dyDescent="0.25">
      <c r="A223" s="1" t="s">
        <v>40</v>
      </c>
      <c r="B223" s="1">
        <v>2019</v>
      </c>
      <c r="C223" s="1" t="s">
        <v>41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ht="13.2" x14ac:dyDescent="0.25">
      <c r="A224" s="1" t="s">
        <v>36</v>
      </c>
      <c r="B224" s="1">
        <v>2019</v>
      </c>
      <c r="C224" s="1" t="s">
        <v>42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38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ht="13.2" x14ac:dyDescent="0.25">
      <c r="A225" s="1" t="s">
        <v>39</v>
      </c>
      <c r="B225" s="1">
        <v>2019</v>
      </c>
      <c r="C225" s="1" t="s">
        <v>42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ht="13.2" x14ac:dyDescent="0.25">
      <c r="A226" s="1" t="s">
        <v>40</v>
      </c>
      <c r="B226" s="1">
        <v>2019</v>
      </c>
      <c r="C226" s="1" t="s">
        <v>42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ht="13.2" x14ac:dyDescent="0.25">
      <c r="A227" s="1" t="s">
        <v>36</v>
      </c>
      <c r="B227" s="1">
        <v>2019</v>
      </c>
      <c r="C227" s="1" t="s">
        <v>44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38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ht="13.2" x14ac:dyDescent="0.25">
      <c r="A228" s="1" t="s">
        <v>39</v>
      </c>
      <c r="B228" s="1">
        <v>2019</v>
      </c>
      <c r="C228" s="1" t="s">
        <v>44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ht="13.2" x14ac:dyDescent="0.25">
      <c r="A229" s="1" t="s">
        <v>40</v>
      </c>
      <c r="B229" s="1">
        <v>2019</v>
      </c>
      <c r="C229" s="1" t="s">
        <v>44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ht="13.2" x14ac:dyDescent="0.25">
      <c r="A230" s="1" t="s">
        <v>36</v>
      </c>
      <c r="B230" s="1">
        <v>2019</v>
      </c>
      <c r="C230" s="1" t="s">
        <v>45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38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ht="13.2" x14ac:dyDescent="0.25">
      <c r="A231" s="1" t="s">
        <v>39</v>
      </c>
      <c r="B231" s="1">
        <v>2019</v>
      </c>
      <c r="C231" s="1" t="s">
        <v>45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ht="13.2" x14ac:dyDescent="0.25">
      <c r="A232" s="1" t="s">
        <v>40</v>
      </c>
      <c r="B232" s="1">
        <v>2019</v>
      </c>
      <c r="C232" s="1" t="s">
        <v>45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ht="13.2" x14ac:dyDescent="0.25">
      <c r="A233" s="1" t="s">
        <v>36</v>
      </c>
      <c r="B233" s="1">
        <v>2019</v>
      </c>
      <c r="C233" s="1" t="s">
        <v>46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38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ht="13.2" x14ac:dyDescent="0.25">
      <c r="A234" s="1" t="s">
        <v>39</v>
      </c>
      <c r="B234" s="1">
        <v>2019</v>
      </c>
      <c r="C234" s="1" t="s">
        <v>46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ht="13.2" x14ac:dyDescent="0.25">
      <c r="A235" s="1" t="s">
        <v>40</v>
      </c>
      <c r="B235" s="1">
        <v>2019</v>
      </c>
      <c r="C235" s="1" t="s">
        <v>46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ht="13.2" x14ac:dyDescent="0.25">
      <c r="A236" s="1" t="s">
        <v>36</v>
      </c>
      <c r="B236" s="1">
        <v>2019</v>
      </c>
      <c r="C236" s="1" t="s">
        <v>47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38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ht="13.2" x14ac:dyDescent="0.25">
      <c r="A237" s="1" t="s">
        <v>39</v>
      </c>
      <c r="B237" s="1">
        <v>2019</v>
      </c>
      <c r="C237" s="1" t="s">
        <v>47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ht="13.2" x14ac:dyDescent="0.25">
      <c r="A238" s="1" t="s">
        <v>40</v>
      </c>
      <c r="B238" s="1">
        <v>2019</v>
      </c>
      <c r="C238" s="1" t="s">
        <v>47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ht="13.2" x14ac:dyDescent="0.25">
      <c r="A239" s="1" t="s">
        <v>36</v>
      </c>
      <c r="B239" s="1">
        <v>2019</v>
      </c>
      <c r="C239" s="1" t="s">
        <v>48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38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ht="13.2" x14ac:dyDescent="0.25">
      <c r="A240" s="1" t="s">
        <v>39</v>
      </c>
      <c r="B240" s="1">
        <v>2019</v>
      </c>
      <c r="C240" s="1" t="s">
        <v>48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ht="13.2" x14ac:dyDescent="0.25">
      <c r="A241" s="1" t="s">
        <v>40</v>
      </c>
      <c r="B241" s="1">
        <v>2019</v>
      </c>
      <c r="C241" s="1" t="s">
        <v>48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ht="13.2" x14ac:dyDescent="0.25">
      <c r="A242" s="1" t="s">
        <v>36</v>
      </c>
      <c r="B242" s="1">
        <v>2019</v>
      </c>
      <c r="C242" s="1" t="s">
        <v>49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38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ht="13.2" x14ac:dyDescent="0.25">
      <c r="A243" s="1" t="s">
        <v>39</v>
      </c>
      <c r="B243" s="1">
        <v>2019</v>
      </c>
      <c r="C243" s="1" t="s">
        <v>49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ht="13.2" x14ac:dyDescent="0.25">
      <c r="A244" s="1" t="s">
        <v>40</v>
      </c>
      <c r="B244" s="1">
        <v>2019</v>
      </c>
      <c r="C244" s="1" t="s">
        <v>49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ht="13.2" x14ac:dyDescent="0.25">
      <c r="A245" s="1" t="s">
        <v>36</v>
      </c>
      <c r="B245" s="1">
        <v>2019</v>
      </c>
      <c r="C245" s="1" t="s">
        <v>50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38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ht="13.2" x14ac:dyDescent="0.25">
      <c r="A246" s="1" t="s">
        <v>39</v>
      </c>
      <c r="B246" s="1">
        <v>2019</v>
      </c>
      <c r="C246" s="1" t="s">
        <v>50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ht="13.2" x14ac:dyDescent="0.25">
      <c r="A247" s="1" t="s">
        <v>40</v>
      </c>
      <c r="B247" s="1">
        <v>2019</v>
      </c>
      <c r="C247" s="1" t="s">
        <v>50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ht="13.2" x14ac:dyDescent="0.25">
      <c r="A248" s="1" t="s">
        <v>36</v>
      </c>
      <c r="B248" s="1">
        <v>2019</v>
      </c>
      <c r="C248" s="1" t="s">
        <v>51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38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ht="13.2" x14ac:dyDescent="0.25">
      <c r="A249" s="1" t="s">
        <v>39</v>
      </c>
      <c r="B249" s="1">
        <v>2019</v>
      </c>
      <c r="C249" s="1" t="s">
        <v>51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ht="13.2" x14ac:dyDescent="0.25">
      <c r="A250" s="1" t="s">
        <v>40</v>
      </c>
      <c r="B250" s="1">
        <v>2019</v>
      </c>
      <c r="C250" s="1" t="s">
        <v>51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ht="13.2" x14ac:dyDescent="0.25">
      <c r="A251" s="1" t="s">
        <v>36</v>
      </c>
      <c r="B251" s="1">
        <v>2020</v>
      </c>
      <c r="C251" s="1" t="s">
        <v>37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38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ht="13.2" x14ac:dyDescent="0.25">
      <c r="A252" s="1" t="s">
        <v>39</v>
      </c>
      <c r="B252" s="1">
        <v>2020</v>
      </c>
      <c r="C252" s="1" t="s">
        <v>37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ht="13.2" x14ac:dyDescent="0.25">
      <c r="A253" s="1" t="s">
        <v>40</v>
      </c>
      <c r="B253" s="1">
        <v>2020</v>
      </c>
      <c r="C253" s="1" t="s">
        <v>37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ht="13.2" x14ac:dyDescent="0.25">
      <c r="A254" s="1" t="s">
        <v>36</v>
      </c>
      <c r="B254" s="1">
        <v>2020</v>
      </c>
      <c r="C254" s="1" t="s">
        <v>41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38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ht="13.2" x14ac:dyDescent="0.25">
      <c r="A255" s="1" t="s">
        <v>39</v>
      </c>
      <c r="B255" s="1">
        <v>2020</v>
      </c>
      <c r="C255" s="1" t="s">
        <v>41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ht="13.2" x14ac:dyDescent="0.25">
      <c r="A256" s="1" t="s">
        <v>40</v>
      </c>
      <c r="B256" s="1">
        <v>2020</v>
      </c>
      <c r="C256" s="1" t="s">
        <v>41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ht="13.2" x14ac:dyDescent="0.25">
      <c r="A257" s="1" t="s">
        <v>36</v>
      </c>
      <c r="B257" s="1">
        <v>2020</v>
      </c>
      <c r="C257" s="1" t="s">
        <v>42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38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ht="13.2" x14ac:dyDescent="0.25">
      <c r="A258" s="1" t="s">
        <v>39</v>
      </c>
      <c r="B258" s="1">
        <v>2020</v>
      </c>
      <c r="C258" s="1" t="s">
        <v>42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ht="13.2" x14ac:dyDescent="0.25">
      <c r="A259" s="1" t="s">
        <v>40</v>
      </c>
      <c r="B259" s="1">
        <v>2020</v>
      </c>
      <c r="C259" s="1" t="s">
        <v>42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ht="13.2" x14ac:dyDescent="0.25">
      <c r="A260" s="1" t="s">
        <v>36</v>
      </c>
      <c r="B260" s="1">
        <v>2020</v>
      </c>
      <c r="C260" s="1" t="s">
        <v>43</v>
      </c>
      <c r="D260" s="1">
        <v>147.19999999999999</v>
      </c>
      <c r="E260" s="1" t="s">
        <v>38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38</v>
      </c>
      <c r="P260" s="1">
        <v>150.1</v>
      </c>
      <c r="Q260" s="1" t="s">
        <v>38</v>
      </c>
      <c r="R260" s="1" t="s">
        <v>38</v>
      </c>
      <c r="S260" s="1" t="s">
        <v>38</v>
      </c>
      <c r="T260" s="1" t="s">
        <v>38</v>
      </c>
      <c r="U260" s="1" t="s">
        <v>38</v>
      </c>
      <c r="V260" s="1">
        <v>148.4</v>
      </c>
      <c r="W260" s="1" t="s">
        <v>38</v>
      </c>
      <c r="X260" s="1">
        <v>154.30000000000001</v>
      </c>
      <c r="Y260" s="1" t="s">
        <v>38</v>
      </c>
      <c r="Z260" s="1" t="s">
        <v>38</v>
      </c>
      <c r="AA260" s="1" t="s">
        <v>38</v>
      </c>
      <c r="AB260" s="1" t="s">
        <v>38</v>
      </c>
      <c r="AC260" s="1" t="s">
        <v>38</v>
      </c>
      <c r="AD260" s="1" t="s">
        <v>38</v>
      </c>
    </row>
    <row r="261" spans="1:30" ht="13.2" x14ac:dyDescent="0.25">
      <c r="A261" s="1" t="s">
        <v>39</v>
      </c>
      <c r="B261" s="1">
        <v>2020</v>
      </c>
      <c r="C261" s="1" t="s">
        <v>43</v>
      </c>
      <c r="D261" s="1">
        <v>151.80000000000001</v>
      </c>
      <c r="E261" s="1" t="s">
        <v>38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38</v>
      </c>
      <c r="P261" s="1">
        <v>153.5</v>
      </c>
      <c r="Q261" s="1" t="s">
        <v>38</v>
      </c>
      <c r="R261" s="1" t="s">
        <v>38</v>
      </c>
      <c r="S261" s="1" t="s">
        <v>38</v>
      </c>
      <c r="T261" s="1" t="s">
        <v>38</v>
      </c>
      <c r="U261" s="1">
        <v>155.6</v>
      </c>
      <c r="V261" s="1">
        <v>137.1</v>
      </c>
      <c r="W261" s="1" t="s">
        <v>38</v>
      </c>
      <c r="X261" s="1">
        <v>144.80000000000001</v>
      </c>
      <c r="Y261" s="1" t="s">
        <v>38</v>
      </c>
      <c r="Z261" s="1" t="s">
        <v>38</v>
      </c>
      <c r="AA261" s="1" t="s">
        <v>38</v>
      </c>
      <c r="AB261" s="1" t="s">
        <v>38</v>
      </c>
      <c r="AC261" s="1" t="s">
        <v>38</v>
      </c>
      <c r="AD261" s="1" t="s">
        <v>38</v>
      </c>
    </row>
    <row r="262" spans="1:30" ht="13.2" x14ac:dyDescent="0.25">
      <c r="A262" s="1" t="s">
        <v>40</v>
      </c>
      <c r="B262" s="1">
        <v>2020</v>
      </c>
      <c r="C262" s="1" t="s">
        <v>43</v>
      </c>
      <c r="D262" s="1">
        <v>148.69999999999999</v>
      </c>
      <c r="E262" s="1" t="s">
        <v>38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38</v>
      </c>
      <c r="P262" s="1">
        <v>151.4</v>
      </c>
      <c r="Q262" s="1" t="s">
        <v>38</v>
      </c>
      <c r="R262" s="1" t="s">
        <v>38</v>
      </c>
      <c r="S262" s="1" t="s">
        <v>38</v>
      </c>
      <c r="T262" s="1" t="s">
        <v>38</v>
      </c>
      <c r="U262" s="1">
        <v>155.6</v>
      </c>
      <c r="V262" s="1">
        <v>144.1</v>
      </c>
      <c r="W262" s="1" t="s">
        <v>38</v>
      </c>
      <c r="X262" s="1">
        <v>150.69999999999999</v>
      </c>
      <c r="Y262" s="1" t="s">
        <v>38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</row>
    <row r="263" spans="1:30" ht="13.2" x14ac:dyDescent="0.25">
      <c r="A263" s="1" t="s">
        <v>36</v>
      </c>
      <c r="B263" s="1">
        <v>2020</v>
      </c>
      <c r="C263" s="1" t="s">
        <v>44</v>
      </c>
      <c r="D263" s="1" t="s">
        <v>38</v>
      </c>
      <c r="E263" s="1" t="s">
        <v>38</v>
      </c>
      <c r="F263" s="1" t="s">
        <v>38</v>
      </c>
      <c r="G263" s="1" t="s">
        <v>38</v>
      </c>
      <c r="H263" s="1" t="s">
        <v>38</v>
      </c>
      <c r="I263" s="1" t="s">
        <v>38</v>
      </c>
      <c r="J263" s="1" t="s">
        <v>38</v>
      </c>
      <c r="K263" s="1" t="s">
        <v>38</v>
      </c>
      <c r="L263" s="1" t="s">
        <v>38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38</v>
      </c>
      <c r="V263" s="1" t="s">
        <v>38</v>
      </c>
      <c r="W263" s="1" t="s">
        <v>38</v>
      </c>
      <c r="X263" s="1" t="s">
        <v>38</v>
      </c>
      <c r="Y263" s="1" t="s">
        <v>38</v>
      </c>
      <c r="Z263" s="1" t="s">
        <v>38</v>
      </c>
      <c r="AA263" s="1" t="s">
        <v>38</v>
      </c>
      <c r="AB263" s="1" t="s">
        <v>38</v>
      </c>
      <c r="AC263" s="1" t="s">
        <v>38</v>
      </c>
      <c r="AD263" s="1" t="s">
        <v>38</v>
      </c>
    </row>
    <row r="264" spans="1:30" ht="13.2" x14ac:dyDescent="0.25">
      <c r="A264" s="1" t="s">
        <v>39</v>
      </c>
      <c r="B264" s="1">
        <v>2020</v>
      </c>
      <c r="C264" s="1" t="s">
        <v>44</v>
      </c>
      <c r="D264" s="1" t="s">
        <v>38</v>
      </c>
      <c r="E264" s="1" t="s">
        <v>38</v>
      </c>
      <c r="F264" s="1" t="s">
        <v>38</v>
      </c>
      <c r="G264" s="1" t="s">
        <v>38</v>
      </c>
      <c r="H264" s="1" t="s">
        <v>38</v>
      </c>
      <c r="I264" s="1" t="s">
        <v>38</v>
      </c>
      <c r="J264" s="1" t="s">
        <v>38</v>
      </c>
      <c r="K264" s="1" t="s">
        <v>38</v>
      </c>
      <c r="L264" s="1" t="s">
        <v>38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38</v>
      </c>
      <c r="V264" s="1" t="s">
        <v>38</v>
      </c>
      <c r="W264" s="1" t="s">
        <v>38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</row>
    <row r="265" spans="1:30" ht="13.2" x14ac:dyDescent="0.25">
      <c r="A265" s="1" t="s">
        <v>40</v>
      </c>
      <c r="B265" s="1">
        <v>2020</v>
      </c>
      <c r="C265" s="1" t="s">
        <v>44</v>
      </c>
      <c r="D265" s="1" t="s">
        <v>38</v>
      </c>
      <c r="E265" s="1" t="s">
        <v>38</v>
      </c>
      <c r="F265" s="1" t="s">
        <v>38</v>
      </c>
      <c r="G265" s="1" t="s">
        <v>38</v>
      </c>
      <c r="H265" s="1" t="s">
        <v>38</v>
      </c>
      <c r="I265" s="1" t="s">
        <v>38</v>
      </c>
      <c r="J265" s="1" t="s">
        <v>38</v>
      </c>
      <c r="K265" s="1" t="s">
        <v>38</v>
      </c>
      <c r="L265" s="1" t="s">
        <v>38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38</v>
      </c>
      <c r="U265" s="1" t="s">
        <v>38</v>
      </c>
      <c r="V265" s="1" t="s">
        <v>38</v>
      </c>
      <c r="W265" s="1" t="s">
        <v>38</v>
      </c>
      <c r="X265" s="1" t="s">
        <v>38</v>
      </c>
      <c r="Y265" s="1" t="s">
        <v>38</v>
      </c>
      <c r="Z265" s="1" t="s">
        <v>38</v>
      </c>
      <c r="AA265" s="1" t="s">
        <v>38</v>
      </c>
      <c r="AB265" s="1" t="s">
        <v>38</v>
      </c>
      <c r="AC265" s="1" t="s">
        <v>38</v>
      </c>
      <c r="AD265" s="1" t="s">
        <v>38</v>
      </c>
    </row>
    <row r="266" spans="1:30" ht="13.2" x14ac:dyDescent="0.25">
      <c r="A266" s="1" t="s">
        <v>36</v>
      </c>
      <c r="B266" s="1">
        <v>2020</v>
      </c>
      <c r="C266" s="1" t="s">
        <v>45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38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ht="13.2" x14ac:dyDescent="0.25">
      <c r="A267" s="1" t="s">
        <v>39</v>
      </c>
      <c r="B267" s="1">
        <v>2020</v>
      </c>
      <c r="C267" s="1" t="s">
        <v>45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ht="13.2" x14ac:dyDescent="0.25">
      <c r="A268" s="1" t="s">
        <v>40</v>
      </c>
      <c r="B268" s="1">
        <v>2020</v>
      </c>
      <c r="C268" s="1" t="s">
        <v>45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ht="13.2" x14ac:dyDescent="0.25">
      <c r="A269" s="1" t="s">
        <v>36</v>
      </c>
      <c r="B269" s="1">
        <v>2020</v>
      </c>
      <c r="C269" s="1" t="s">
        <v>46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38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ht="13.2" x14ac:dyDescent="0.25">
      <c r="A270" s="1" t="s">
        <v>39</v>
      </c>
      <c r="B270" s="1">
        <v>2020</v>
      </c>
      <c r="C270" s="1" t="s">
        <v>46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ht="13.2" x14ac:dyDescent="0.25">
      <c r="A271" s="1" t="s">
        <v>40</v>
      </c>
      <c r="B271" s="1">
        <v>2020</v>
      </c>
      <c r="C271" s="1" t="s">
        <v>46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ht="13.2" x14ac:dyDescent="0.25">
      <c r="A272" s="1" t="s">
        <v>36</v>
      </c>
      <c r="B272" s="1">
        <v>2020</v>
      </c>
      <c r="C272" s="1" t="s">
        <v>47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38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ht="13.2" x14ac:dyDescent="0.25">
      <c r="A273" s="1" t="s">
        <v>39</v>
      </c>
      <c r="B273" s="1">
        <v>2020</v>
      </c>
      <c r="C273" s="1" t="s">
        <v>47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ht="13.2" x14ac:dyDescent="0.25">
      <c r="A274" s="1" t="s">
        <v>40</v>
      </c>
      <c r="B274" s="1">
        <v>2020</v>
      </c>
      <c r="C274" s="1" t="s">
        <v>47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ht="13.2" x14ac:dyDescent="0.25">
      <c r="A275" s="1" t="s">
        <v>36</v>
      </c>
      <c r="B275" s="1">
        <v>2020</v>
      </c>
      <c r="C275" s="1" t="s">
        <v>48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38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ht="13.2" x14ac:dyDescent="0.25">
      <c r="A276" s="1" t="s">
        <v>39</v>
      </c>
      <c r="B276" s="1">
        <v>2020</v>
      </c>
      <c r="C276" s="1" t="s">
        <v>48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ht="13.2" x14ac:dyDescent="0.25">
      <c r="A277" s="1" t="s">
        <v>40</v>
      </c>
      <c r="B277" s="1">
        <v>2020</v>
      </c>
      <c r="C277" s="1" t="s">
        <v>48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ht="13.2" x14ac:dyDescent="0.25">
      <c r="A278" s="1" t="s">
        <v>36</v>
      </c>
      <c r="B278" s="1">
        <v>2020</v>
      </c>
      <c r="C278" s="1" t="s">
        <v>49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38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ht="13.2" x14ac:dyDescent="0.25">
      <c r="A279" s="1" t="s">
        <v>39</v>
      </c>
      <c r="B279" s="1">
        <v>2020</v>
      </c>
      <c r="C279" s="1" t="s">
        <v>49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ht="13.2" x14ac:dyDescent="0.25">
      <c r="A280" s="1" t="s">
        <v>40</v>
      </c>
      <c r="B280" s="1">
        <v>2020</v>
      </c>
      <c r="C280" s="1" t="s">
        <v>49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ht="13.2" x14ac:dyDescent="0.25">
      <c r="A281" s="1" t="s">
        <v>36</v>
      </c>
      <c r="B281" s="1">
        <v>2020</v>
      </c>
      <c r="C281" s="1" t="s">
        <v>50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38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ht="13.2" x14ac:dyDescent="0.25">
      <c r="A282" s="1" t="s">
        <v>39</v>
      </c>
      <c r="B282" s="1">
        <v>2020</v>
      </c>
      <c r="C282" s="1" t="s">
        <v>50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ht="13.2" x14ac:dyDescent="0.25">
      <c r="A283" s="1" t="s">
        <v>40</v>
      </c>
      <c r="B283" s="1">
        <v>2020</v>
      </c>
      <c r="C283" s="1" t="s">
        <v>50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ht="13.2" x14ac:dyDescent="0.25">
      <c r="A284" s="1" t="s">
        <v>36</v>
      </c>
      <c r="B284" s="1">
        <v>2020</v>
      </c>
      <c r="C284" s="1" t="s">
        <v>51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38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ht="13.2" x14ac:dyDescent="0.25">
      <c r="A285" s="1" t="s">
        <v>39</v>
      </c>
      <c r="B285" s="1">
        <v>2020</v>
      </c>
      <c r="C285" s="1" t="s">
        <v>51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ht="13.2" x14ac:dyDescent="0.25">
      <c r="A286" s="1" t="s">
        <v>40</v>
      </c>
      <c r="B286" s="1">
        <v>2020</v>
      </c>
      <c r="C286" s="1" t="s">
        <v>51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ht="13.2" x14ac:dyDescent="0.25">
      <c r="A287" s="1" t="s">
        <v>36</v>
      </c>
      <c r="B287" s="1">
        <v>2021</v>
      </c>
      <c r="C287" s="1" t="s">
        <v>37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38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ht="13.2" x14ac:dyDescent="0.25">
      <c r="A288" s="1" t="s">
        <v>39</v>
      </c>
      <c r="B288" s="1">
        <v>2021</v>
      </c>
      <c r="C288" s="1" t="s">
        <v>37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ht="13.2" x14ac:dyDescent="0.25">
      <c r="A289" s="1" t="s">
        <v>40</v>
      </c>
      <c r="B289" s="1">
        <v>2021</v>
      </c>
      <c r="C289" s="1" t="s">
        <v>37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ht="13.2" x14ac:dyDescent="0.25">
      <c r="A290" s="1" t="s">
        <v>36</v>
      </c>
      <c r="B290" s="1">
        <v>2021</v>
      </c>
      <c r="C290" s="1" t="s">
        <v>41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38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ht="13.2" x14ac:dyDescent="0.25">
      <c r="A291" s="1" t="s">
        <v>39</v>
      </c>
      <c r="B291" s="1">
        <v>2021</v>
      </c>
      <c r="C291" s="1" t="s">
        <v>41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ht="13.2" x14ac:dyDescent="0.25">
      <c r="A292" s="1" t="s">
        <v>40</v>
      </c>
      <c r="B292" s="1">
        <v>2021</v>
      </c>
      <c r="C292" s="1" t="s">
        <v>41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ht="13.2" x14ac:dyDescent="0.25">
      <c r="A293" s="1" t="s">
        <v>36</v>
      </c>
      <c r="B293" s="1">
        <v>2021</v>
      </c>
      <c r="C293" s="1" t="s">
        <v>42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52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ht="13.2" x14ac:dyDescent="0.25">
      <c r="A294" s="1" t="s">
        <v>39</v>
      </c>
      <c r="B294" s="1">
        <v>2021</v>
      </c>
      <c r="C294" s="1" t="s">
        <v>42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ht="13.2" x14ac:dyDescent="0.25">
      <c r="A295" s="1" t="s">
        <v>40</v>
      </c>
      <c r="B295" s="1">
        <v>2021</v>
      </c>
      <c r="C295" s="1" t="s">
        <v>42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ht="13.2" x14ac:dyDescent="0.25">
      <c r="A296" s="1" t="s">
        <v>36</v>
      </c>
      <c r="B296" s="1">
        <v>2021</v>
      </c>
      <c r="C296" s="1" t="s">
        <v>43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52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ht="13.2" x14ac:dyDescent="0.25">
      <c r="A297" s="1" t="s">
        <v>39</v>
      </c>
      <c r="B297" s="1">
        <v>2021</v>
      </c>
      <c r="C297" s="1" t="s">
        <v>43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ht="13.2" x14ac:dyDescent="0.25">
      <c r="A298" s="1" t="s">
        <v>40</v>
      </c>
      <c r="B298" s="1">
        <v>2021</v>
      </c>
      <c r="C298" s="1" t="s">
        <v>43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ht="13.2" x14ac:dyDescent="0.25">
      <c r="A299" s="1" t="s">
        <v>36</v>
      </c>
      <c r="B299" s="1">
        <v>2021</v>
      </c>
      <c r="C299" s="1" t="s">
        <v>44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38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ht="13.2" x14ac:dyDescent="0.25">
      <c r="A300" s="1" t="s">
        <v>39</v>
      </c>
      <c r="B300" s="1">
        <v>2021</v>
      </c>
      <c r="C300" s="1" t="s">
        <v>44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ht="13.2" x14ac:dyDescent="0.25">
      <c r="A301" s="1" t="s">
        <v>40</v>
      </c>
      <c r="B301" s="1">
        <v>2021</v>
      </c>
      <c r="C301" s="1" t="s">
        <v>44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ht="13.2" x14ac:dyDescent="0.25">
      <c r="A302" s="1" t="s">
        <v>36</v>
      </c>
      <c r="B302" s="1">
        <v>2021</v>
      </c>
      <c r="C302" s="1" t="s">
        <v>45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38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ht="13.2" x14ac:dyDescent="0.25">
      <c r="A303" s="1" t="s">
        <v>39</v>
      </c>
      <c r="B303" s="1">
        <v>2021</v>
      </c>
      <c r="C303" s="1" t="s">
        <v>45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ht="13.2" x14ac:dyDescent="0.25">
      <c r="A304" s="1" t="s">
        <v>40</v>
      </c>
      <c r="B304" s="1">
        <v>2021</v>
      </c>
      <c r="C304" s="1" t="s">
        <v>45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ht="13.2" x14ac:dyDescent="0.25">
      <c r="A305" s="1" t="s">
        <v>36</v>
      </c>
      <c r="B305" s="1">
        <v>2021</v>
      </c>
      <c r="C305" s="1" t="s">
        <v>46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38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ht="13.2" x14ac:dyDescent="0.25">
      <c r="A306" s="1" t="s">
        <v>39</v>
      </c>
      <c r="B306" s="1">
        <v>2021</v>
      </c>
      <c r="C306" s="1" t="s">
        <v>46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ht="13.2" x14ac:dyDescent="0.25">
      <c r="A307" s="1" t="s">
        <v>40</v>
      </c>
      <c r="B307" s="1">
        <v>2021</v>
      </c>
      <c r="C307" s="1" t="s">
        <v>46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ht="13.2" x14ac:dyDescent="0.25">
      <c r="A308" s="1" t="s">
        <v>36</v>
      </c>
      <c r="B308" s="1">
        <v>2021</v>
      </c>
      <c r="C308" s="1" t="s">
        <v>47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38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ht="13.2" x14ac:dyDescent="0.25">
      <c r="A309" s="1" t="s">
        <v>39</v>
      </c>
      <c r="B309" s="1">
        <v>2021</v>
      </c>
      <c r="C309" s="1" t="s">
        <v>47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ht="13.2" x14ac:dyDescent="0.25">
      <c r="A310" s="1" t="s">
        <v>40</v>
      </c>
      <c r="B310" s="1">
        <v>2021</v>
      </c>
      <c r="C310" s="1" t="s">
        <v>47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ht="13.2" x14ac:dyDescent="0.25">
      <c r="A311" s="1" t="s">
        <v>36</v>
      </c>
      <c r="B311" s="1">
        <v>2021</v>
      </c>
      <c r="C311" s="1" t="s">
        <v>48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38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ht="13.2" x14ac:dyDescent="0.25">
      <c r="A312" s="1" t="s">
        <v>39</v>
      </c>
      <c r="B312" s="1">
        <v>2021</v>
      </c>
      <c r="C312" s="1" t="s">
        <v>48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ht="13.2" x14ac:dyDescent="0.25">
      <c r="A313" s="1" t="s">
        <v>40</v>
      </c>
      <c r="B313" s="1">
        <v>2021</v>
      </c>
      <c r="C313" s="1" t="s">
        <v>48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ht="13.2" x14ac:dyDescent="0.25">
      <c r="A314" s="1" t="s">
        <v>36</v>
      </c>
      <c r="B314" s="1">
        <v>2021</v>
      </c>
      <c r="C314" s="1" t="s">
        <v>49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38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ht="13.2" x14ac:dyDescent="0.25">
      <c r="A315" s="1" t="s">
        <v>39</v>
      </c>
      <c r="B315" s="1">
        <v>2021</v>
      </c>
      <c r="C315" s="1" t="s">
        <v>49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ht="13.2" x14ac:dyDescent="0.25">
      <c r="A316" s="1" t="s">
        <v>40</v>
      </c>
      <c r="B316" s="1">
        <v>2021</v>
      </c>
      <c r="C316" s="1" t="s">
        <v>49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ht="13.2" x14ac:dyDescent="0.25">
      <c r="A317" s="1" t="s">
        <v>36</v>
      </c>
      <c r="B317" s="1">
        <v>2021</v>
      </c>
      <c r="C317" s="1" t="s">
        <v>50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38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ht="13.2" x14ac:dyDescent="0.25">
      <c r="A318" s="1" t="s">
        <v>39</v>
      </c>
      <c r="B318" s="1">
        <v>2021</v>
      </c>
      <c r="C318" s="1" t="s">
        <v>50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ht="13.2" x14ac:dyDescent="0.25">
      <c r="A319" s="1" t="s">
        <v>40</v>
      </c>
      <c r="B319" s="1">
        <v>2021</v>
      </c>
      <c r="C319" s="1" t="s">
        <v>50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ht="13.2" x14ac:dyDescent="0.25">
      <c r="A320" s="1" t="s">
        <v>36</v>
      </c>
      <c r="B320" s="1">
        <v>2021</v>
      </c>
      <c r="C320" s="1" t="s">
        <v>51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38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ht="13.2" x14ac:dyDescent="0.25">
      <c r="A321" s="1" t="s">
        <v>39</v>
      </c>
      <c r="B321" s="1">
        <v>2021</v>
      </c>
      <c r="C321" s="1" t="s">
        <v>51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ht="13.2" x14ac:dyDescent="0.25">
      <c r="A322" s="1" t="s">
        <v>40</v>
      </c>
      <c r="B322" s="1">
        <v>2021</v>
      </c>
      <c r="C322" s="1" t="s">
        <v>51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ht="13.2" x14ac:dyDescent="0.25">
      <c r="A323" s="1" t="s">
        <v>36</v>
      </c>
      <c r="B323" s="1">
        <v>2022</v>
      </c>
      <c r="C323" s="1" t="s">
        <v>37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38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ht="13.2" x14ac:dyDescent="0.25">
      <c r="A324" s="1" t="s">
        <v>39</v>
      </c>
      <c r="B324" s="1">
        <v>2022</v>
      </c>
      <c r="C324" s="1" t="s">
        <v>37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ht="13.2" x14ac:dyDescent="0.25">
      <c r="A325" s="1" t="s">
        <v>40</v>
      </c>
      <c r="B325" s="1">
        <v>2022</v>
      </c>
      <c r="C325" s="1" t="s">
        <v>37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ht="13.2" x14ac:dyDescent="0.25">
      <c r="A326" s="1" t="s">
        <v>36</v>
      </c>
      <c r="B326" s="1">
        <v>2022</v>
      </c>
      <c r="C326" s="1" t="s">
        <v>41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38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ht="13.2" x14ac:dyDescent="0.25">
      <c r="A327" s="1" t="s">
        <v>39</v>
      </c>
      <c r="B327" s="1">
        <v>2022</v>
      </c>
      <c r="C327" s="1" t="s">
        <v>41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ht="13.2" x14ac:dyDescent="0.25">
      <c r="A328" s="1" t="s">
        <v>40</v>
      </c>
      <c r="B328" s="1">
        <v>2022</v>
      </c>
      <c r="C328" s="1" t="s">
        <v>41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ht="13.2" x14ac:dyDescent="0.25">
      <c r="A329" s="1" t="s">
        <v>36</v>
      </c>
      <c r="B329" s="1">
        <v>2022</v>
      </c>
      <c r="C329" s="1" t="s">
        <v>42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38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ht="13.2" x14ac:dyDescent="0.25">
      <c r="A330" s="1" t="s">
        <v>39</v>
      </c>
      <c r="B330" s="1">
        <v>2022</v>
      </c>
      <c r="C330" s="1" t="s">
        <v>42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ht="13.2" x14ac:dyDescent="0.25">
      <c r="A331" s="1" t="s">
        <v>40</v>
      </c>
      <c r="B331" s="1">
        <v>2022</v>
      </c>
      <c r="C331" s="1" t="s">
        <v>42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ht="13.2" x14ac:dyDescent="0.25">
      <c r="A332" s="1" t="s">
        <v>36</v>
      </c>
      <c r="B332" s="1">
        <v>2022</v>
      </c>
      <c r="C332" s="1" t="s">
        <v>43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38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ht="13.2" x14ac:dyDescent="0.25">
      <c r="A333" s="1" t="s">
        <v>39</v>
      </c>
      <c r="B333" s="1">
        <v>2022</v>
      </c>
      <c r="C333" s="1" t="s">
        <v>43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ht="13.2" x14ac:dyDescent="0.25">
      <c r="A334" s="1" t="s">
        <v>40</v>
      </c>
      <c r="B334" s="1">
        <v>2022</v>
      </c>
      <c r="C334" s="1" t="s">
        <v>43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ht="13.2" x14ac:dyDescent="0.25">
      <c r="A335" s="1" t="s">
        <v>36</v>
      </c>
      <c r="B335" s="1">
        <v>2022</v>
      </c>
      <c r="C335" s="1" t="s">
        <v>44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38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ht="13.2" x14ac:dyDescent="0.25">
      <c r="A336" s="1" t="s">
        <v>39</v>
      </c>
      <c r="B336" s="1">
        <v>2022</v>
      </c>
      <c r="C336" s="1" t="s">
        <v>44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ht="13.2" x14ac:dyDescent="0.25">
      <c r="A337" s="1" t="s">
        <v>40</v>
      </c>
      <c r="B337" s="1">
        <v>2022</v>
      </c>
      <c r="C337" s="1" t="s">
        <v>44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ht="13.2" x14ac:dyDescent="0.25">
      <c r="A338" s="1" t="s">
        <v>36</v>
      </c>
      <c r="B338" s="1">
        <v>2022</v>
      </c>
      <c r="C338" s="1" t="s">
        <v>45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38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ht="13.2" x14ac:dyDescent="0.25">
      <c r="A339" s="1" t="s">
        <v>39</v>
      </c>
      <c r="B339" s="1">
        <v>2022</v>
      </c>
      <c r="C339" s="1" t="s">
        <v>45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ht="13.2" x14ac:dyDescent="0.25">
      <c r="A340" s="1" t="s">
        <v>40</v>
      </c>
      <c r="B340" s="1">
        <v>2022</v>
      </c>
      <c r="C340" s="1" t="s">
        <v>45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ht="13.2" x14ac:dyDescent="0.25">
      <c r="A341" s="1" t="s">
        <v>36</v>
      </c>
      <c r="B341" s="1">
        <v>2022</v>
      </c>
      <c r="C341" s="1" t="s">
        <v>46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38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ht="13.2" x14ac:dyDescent="0.25">
      <c r="A342" s="1" t="s">
        <v>39</v>
      </c>
      <c r="B342" s="1">
        <v>2022</v>
      </c>
      <c r="C342" s="1" t="s">
        <v>46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ht="13.2" x14ac:dyDescent="0.25">
      <c r="A343" s="1" t="s">
        <v>40</v>
      </c>
      <c r="B343" s="1">
        <v>2022</v>
      </c>
      <c r="C343" s="1" t="s">
        <v>46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ht="13.2" x14ac:dyDescent="0.25">
      <c r="A344" s="1" t="s">
        <v>36</v>
      </c>
      <c r="B344" s="1">
        <v>2022</v>
      </c>
      <c r="C344" s="1" t="s">
        <v>47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38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ht="13.2" x14ac:dyDescent="0.25">
      <c r="A345" s="1" t="s">
        <v>39</v>
      </c>
      <c r="B345" s="1">
        <v>2022</v>
      </c>
      <c r="C345" s="1" t="s">
        <v>47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ht="13.2" x14ac:dyDescent="0.25">
      <c r="A346" s="1" t="s">
        <v>40</v>
      </c>
      <c r="B346" s="1">
        <v>2022</v>
      </c>
      <c r="C346" s="1" t="s">
        <v>47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ht="13.2" x14ac:dyDescent="0.25">
      <c r="A347" s="1" t="s">
        <v>36</v>
      </c>
      <c r="B347" s="1">
        <v>2022</v>
      </c>
      <c r="C347" s="1" t="s">
        <v>48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38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ht="13.2" x14ac:dyDescent="0.25">
      <c r="A348" s="1" t="s">
        <v>39</v>
      </c>
      <c r="B348" s="1">
        <v>2022</v>
      </c>
      <c r="C348" s="1" t="s">
        <v>48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ht="13.2" x14ac:dyDescent="0.25">
      <c r="A349" s="1" t="s">
        <v>40</v>
      </c>
      <c r="B349" s="1">
        <v>2022</v>
      </c>
      <c r="C349" s="1" t="s">
        <v>48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ht="13.2" x14ac:dyDescent="0.25">
      <c r="A350" s="1" t="s">
        <v>36</v>
      </c>
      <c r="B350" s="1">
        <v>2022</v>
      </c>
      <c r="C350" s="1" t="s">
        <v>49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38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ht="13.2" x14ac:dyDescent="0.25">
      <c r="A351" s="1" t="s">
        <v>39</v>
      </c>
      <c r="B351" s="1">
        <v>2022</v>
      </c>
      <c r="C351" s="1" t="s">
        <v>49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ht="13.2" x14ac:dyDescent="0.25">
      <c r="A352" s="1" t="s">
        <v>40</v>
      </c>
      <c r="B352" s="1">
        <v>2022</v>
      </c>
      <c r="C352" s="1" t="s">
        <v>49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ht="13.2" x14ac:dyDescent="0.25">
      <c r="A353" s="1" t="s">
        <v>36</v>
      </c>
      <c r="B353" s="1">
        <v>2022</v>
      </c>
      <c r="C353" s="1" t="s">
        <v>50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38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ht="13.2" x14ac:dyDescent="0.25">
      <c r="A354" s="1" t="s">
        <v>39</v>
      </c>
      <c r="B354" s="1">
        <v>2022</v>
      </c>
      <c r="C354" s="1" t="s">
        <v>50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ht="13.2" x14ac:dyDescent="0.25">
      <c r="A355" s="1" t="s">
        <v>40</v>
      </c>
      <c r="B355" s="1">
        <v>2022</v>
      </c>
      <c r="C355" s="1" t="s">
        <v>50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ht="13.2" x14ac:dyDescent="0.25">
      <c r="A356" s="1" t="s">
        <v>36</v>
      </c>
      <c r="B356" s="1">
        <v>2022</v>
      </c>
      <c r="C356" s="1" t="s">
        <v>51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38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ht="13.2" x14ac:dyDescent="0.25">
      <c r="A357" s="1" t="s">
        <v>39</v>
      </c>
      <c r="B357" s="1">
        <v>2022</v>
      </c>
      <c r="C357" s="1" t="s">
        <v>51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ht="13.2" x14ac:dyDescent="0.25">
      <c r="A358" s="1" t="s">
        <v>40</v>
      </c>
      <c r="B358" s="1">
        <v>2022</v>
      </c>
      <c r="C358" s="1" t="s">
        <v>51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ht="13.2" x14ac:dyDescent="0.25">
      <c r="A359" s="1" t="s">
        <v>36</v>
      </c>
      <c r="B359" s="1">
        <v>2023</v>
      </c>
      <c r="C359" s="1" t="s">
        <v>37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38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ht="13.2" x14ac:dyDescent="0.25">
      <c r="A360" s="1" t="s">
        <v>39</v>
      </c>
      <c r="B360" s="1">
        <v>2023</v>
      </c>
      <c r="C360" s="1" t="s">
        <v>37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ht="13.2" x14ac:dyDescent="0.25">
      <c r="A361" s="1" t="s">
        <v>40</v>
      </c>
      <c r="B361" s="1">
        <v>2023</v>
      </c>
      <c r="C361" s="1" t="s">
        <v>37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ht="13.2" x14ac:dyDescent="0.25">
      <c r="A362" s="1" t="s">
        <v>36</v>
      </c>
      <c r="B362" s="1">
        <v>2023</v>
      </c>
      <c r="C362" s="1" t="s">
        <v>41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38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ht="13.2" x14ac:dyDescent="0.25">
      <c r="A363" s="1" t="s">
        <v>39</v>
      </c>
      <c r="B363" s="1">
        <v>2023</v>
      </c>
      <c r="C363" s="1" t="s">
        <v>41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ht="13.2" x14ac:dyDescent="0.25">
      <c r="A364" s="1" t="s">
        <v>40</v>
      </c>
      <c r="B364" s="1">
        <v>2023</v>
      </c>
      <c r="C364" s="1" t="s">
        <v>41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ht="13.2" x14ac:dyDescent="0.25">
      <c r="A365" s="1" t="s">
        <v>36</v>
      </c>
      <c r="B365" s="1">
        <v>2023</v>
      </c>
      <c r="C365" s="1" t="s">
        <v>42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38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ht="13.2" x14ac:dyDescent="0.25">
      <c r="A366" s="1" t="s">
        <v>39</v>
      </c>
      <c r="B366" s="1">
        <v>2023</v>
      </c>
      <c r="C366" s="1" t="s">
        <v>42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ht="13.2" x14ac:dyDescent="0.25">
      <c r="A367" s="1" t="s">
        <v>40</v>
      </c>
      <c r="B367" s="1">
        <v>2023</v>
      </c>
      <c r="C367" s="1" t="s">
        <v>42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ht="13.2" x14ac:dyDescent="0.25">
      <c r="A368" s="1" t="s">
        <v>36</v>
      </c>
      <c r="B368" s="1">
        <v>2023</v>
      </c>
      <c r="C368" s="1" t="s">
        <v>43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52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ht="13.2" x14ac:dyDescent="0.25">
      <c r="A369" s="1" t="s">
        <v>39</v>
      </c>
      <c r="B369" s="1">
        <v>2023</v>
      </c>
      <c r="C369" s="1" t="s">
        <v>43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ht="13.2" x14ac:dyDescent="0.25">
      <c r="A370" s="1" t="s">
        <v>40</v>
      </c>
      <c r="B370" s="1">
        <v>2023</v>
      </c>
      <c r="C370" s="1" t="s">
        <v>43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ht="13.2" x14ac:dyDescent="0.25">
      <c r="A371" s="1" t="s">
        <v>36</v>
      </c>
      <c r="B371" s="1">
        <v>2023</v>
      </c>
      <c r="C371" s="1" t="s">
        <v>44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52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ht="13.2" x14ac:dyDescent="0.25">
      <c r="A372" s="1" t="s">
        <v>39</v>
      </c>
      <c r="B372" s="1">
        <v>2023</v>
      </c>
      <c r="C372" s="1" t="s">
        <v>44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ht="13.2" x14ac:dyDescent="0.25">
      <c r="A373" s="1" t="s">
        <v>40</v>
      </c>
      <c r="B373" s="1">
        <v>2023</v>
      </c>
      <c r="C373" s="1" t="s">
        <v>44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  <row r="374" spans="1:30" ht="15.75" customHeight="1" x14ac:dyDescent="0.25">
      <c r="D374">
        <f>COUNTIF(D1:D373,"NA")</f>
        <v>3</v>
      </c>
      <c r="E374">
        <f t="shared" ref="E374:AD374" si="0">COUNTIF(E1:E373,"NA")</f>
        <v>6</v>
      </c>
      <c r="F374">
        <f t="shared" si="0"/>
        <v>3</v>
      </c>
      <c r="G374">
        <f t="shared" si="0"/>
        <v>3</v>
      </c>
      <c r="H374">
        <f t="shared" si="0"/>
        <v>3</v>
      </c>
      <c r="I374">
        <f t="shared" si="0"/>
        <v>3</v>
      </c>
      <c r="J374">
        <f t="shared" si="0"/>
        <v>3</v>
      </c>
      <c r="K374">
        <f t="shared" si="0"/>
        <v>3</v>
      </c>
      <c r="L374">
        <f t="shared" si="0"/>
        <v>3</v>
      </c>
      <c r="M374">
        <f t="shared" si="0"/>
        <v>3</v>
      </c>
      <c r="N374">
        <f t="shared" si="0"/>
        <v>3</v>
      </c>
      <c r="O374">
        <f t="shared" si="0"/>
        <v>6</v>
      </c>
      <c r="P374">
        <f t="shared" si="0"/>
        <v>3</v>
      </c>
      <c r="Q374">
        <f t="shared" si="0"/>
        <v>6</v>
      </c>
      <c r="R374">
        <f t="shared" si="0"/>
        <v>6</v>
      </c>
      <c r="S374">
        <f t="shared" si="0"/>
        <v>6</v>
      </c>
      <c r="T374">
        <f t="shared" si="0"/>
        <v>6</v>
      </c>
      <c r="U374">
        <f t="shared" si="0"/>
        <v>122</v>
      </c>
      <c r="V374">
        <f t="shared" si="0"/>
        <v>3</v>
      </c>
      <c r="W374">
        <f t="shared" si="0"/>
        <v>6</v>
      </c>
      <c r="X374">
        <f t="shared" si="0"/>
        <v>3</v>
      </c>
      <c r="Y374">
        <f t="shared" si="0"/>
        <v>6</v>
      </c>
      <c r="Z374">
        <f t="shared" si="0"/>
        <v>6</v>
      </c>
      <c r="AA374">
        <f t="shared" si="0"/>
        <v>6</v>
      </c>
      <c r="AB374">
        <f t="shared" si="0"/>
        <v>6</v>
      </c>
      <c r="AC374">
        <f t="shared" si="0"/>
        <v>6</v>
      </c>
      <c r="AD374">
        <f t="shared" si="0"/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FA17-797A-4292-A241-3884211DB8C9}">
  <dimension ref="B1:N32"/>
  <sheetViews>
    <sheetView workbookViewId="0">
      <selection activeCell="B25" sqref="B25"/>
    </sheetView>
  </sheetViews>
  <sheetFormatPr defaultRowHeight="13.2" x14ac:dyDescent="0.25"/>
  <cols>
    <col min="2" max="2" width="10.33203125" bestFit="1" customWidth="1"/>
    <col min="3" max="3" width="31.33203125" bestFit="1" customWidth="1"/>
    <col min="4" max="4" width="27" customWidth="1"/>
    <col min="6" max="6" width="31" bestFit="1" customWidth="1"/>
  </cols>
  <sheetData>
    <row r="1" spans="2:14" x14ac:dyDescent="0.25">
      <c r="B1" t="s">
        <v>172</v>
      </c>
    </row>
    <row r="2" spans="2:14" x14ac:dyDescent="0.25">
      <c r="C2" t="s">
        <v>173</v>
      </c>
    </row>
    <row r="3" spans="2:14" x14ac:dyDescent="0.25">
      <c r="B3" t="s">
        <v>0</v>
      </c>
      <c r="C3" t="s">
        <v>0</v>
      </c>
      <c r="D3" t="s">
        <v>174</v>
      </c>
      <c r="F3" t="s">
        <v>175</v>
      </c>
    </row>
    <row r="4" spans="2:14" x14ac:dyDescent="0.25">
      <c r="B4" t="s">
        <v>176</v>
      </c>
      <c r="C4" t="s">
        <v>1</v>
      </c>
      <c r="D4" t="s">
        <v>177</v>
      </c>
      <c r="E4" t="s">
        <v>178</v>
      </c>
      <c r="F4" t="s">
        <v>175</v>
      </c>
      <c r="H4" t="s">
        <v>179</v>
      </c>
    </row>
    <row r="5" spans="2:14" x14ac:dyDescent="0.25">
      <c r="B5" t="s">
        <v>176</v>
      </c>
      <c r="C5" t="s">
        <v>2</v>
      </c>
      <c r="D5" t="s">
        <v>180</v>
      </c>
      <c r="F5" t="s">
        <v>181</v>
      </c>
      <c r="H5" t="s">
        <v>182</v>
      </c>
    </row>
    <row r="6" spans="2:14" x14ac:dyDescent="0.25">
      <c r="B6" t="s">
        <v>31</v>
      </c>
      <c r="C6" t="s">
        <v>4</v>
      </c>
      <c r="D6" t="s">
        <v>183</v>
      </c>
      <c r="F6" t="s">
        <v>184</v>
      </c>
    </row>
    <row r="7" spans="2:14" x14ac:dyDescent="0.25">
      <c r="B7" t="s">
        <v>31</v>
      </c>
      <c r="C7" t="s">
        <v>5</v>
      </c>
      <c r="D7" t="s">
        <v>185</v>
      </c>
      <c r="F7" t="s">
        <v>186</v>
      </c>
    </row>
    <row r="8" spans="2:14" x14ac:dyDescent="0.25">
      <c r="B8" t="s">
        <v>31</v>
      </c>
      <c r="C8" t="s">
        <v>6</v>
      </c>
      <c r="D8" t="s">
        <v>187</v>
      </c>
      <c r="F8" t="s">
        <v>188</v>
      </c>
      <c r="N8" t="s">
        <v>0</v>
      </c>
    </row>
    <row r="9" spans="2:14" x14ac:dyDescent="0.25">
      <c r="B9" t="s">
        <v>31</v>
      </c>
      <c r="C9" t="s">
        <v>7</v>
      </c>
      <c r="D9" t="s">
        <v>189</v>
      </c>
      <c r="F9" t="s">
        <v>188</v>
      </c>
      <c r="N9" t="s">
        <v>176</v>
      </c>
    </row>
    <row r="10" spans="2:14" x14ac:dyDescent="0.25">
      <c r="B10" t="s">
        <v>31</v>
      </c>
      <c r="C10" t="s">
        <v>8</v>
      </c>
      <c r="D10" t="s">
        <v>190</v>
      </c>
      <c r="F10" t="s">
        <v>188</v>
      </c>
      <c r="N10" t="s">
        <v>31</v>
      </c>
    </row>
    <row r="11" spans="2:14" x14ac:dyDescent="0.25">
      <c r="B11" t="s">
        <v>31</v>
      </c>
      <c r="C11" t="s">
        <v>9</v>
      </c>
      <c r="D11" t="s">
        <v>191</v>
      </c>
      <c r="F11" t="s">
        <v>188</v>
      </c>
      <c r="N11" t="s">
        <v>29</v>
      </c>
    </row>
    <row r="12" spans="2:14" x14ac:dyDescent="0.25">
      <c r="B12" t="s">
        <v>31</v>
      </c>
      <c r="C12" t="s">
        <v>10</v>
      </c>
      <c r="D12" t="s">
        <v>192</v>
      </c>
      <c r="F12" t="s">
        <v>188</v>
      </c>
      <c r="N12" t="s">
        <v>20</v>
      </c>
    </row>
    <row r="13" spans="2:14" x14ac:dyDescent="0.25">
      <c r="B13" t="s">
        <v>31</v>
      </c>
      <c r="C13" t="s">
        <v>11</v>
      </c>
      <c r="D13" t="s">
        <v>193</v>
      </c>
      <c r="F13" t="s">
        <v>188</v>
      </c>
      <c r="N13" t="s">
        <v>34</v>
      </c>
    </row>
    <row r="14" spans="2:14" x14ac:dyDescent="0.25">
      <c r="B14" t="s">
        <v>31</v>
      </c>
      <c r="C14" t="s">
        <v>12</v>
      </c>
      <c r="D14" t="s">
        <v>194</v>
      </c>
      <c r="F14" t="s">
        <v>188</v>
      </c>
      <c r="N14" t="s">
        <v>30</v>
      </c>
    </row>
    <row r="15" spans="2:14" x14ac:dyDescent="0.25">
      <c r="B15" t="s">
        <v>31</v>
      </c>
      <c r="C15" t="s">
        <v>13</v>
      </c>
      <c r="D15" t="s">
        <v>195</v>
      </c>
      <c r="F15" t="s">
        <v>188</v>
      </c>
    </row>
    <row r="16" spans="2:14" x14ac:dyDescent="0.25">
      <c r="B16" t="s">
        <v>31</v>
      </c>
      <c r="C16" t="s">
        <v>14</v>
      </c>
      <c r="D16" t="s">
        <v>196</v>
      </c>
      <c r="F16" t="s">
        <v>188</v>
      </c>
    </row>
    <row r="17" spans="2:6" x14ac:dyDescent="0.25">
      <c r="B17" t="s">
        <v>31</v>
      </c>
      <c r="C17" t="s">
        <v>15</v>
      </c>
      <c r="D17" t="s">
        <v>197</v>
      </c>
      <c r="F17" t="s">
        <v>186</v>
      </c>
    </row>
    <row r="18" spans="2:6" x14ac:dyDescent="0.25">
      <c r="B18" t="s">
        <v>31</v>
      </c>
      <c r="C18" t="s">
        <v>16</v>
      </c>
      <c r="D18" t="s">
        <v>198</v>
      </c>
      <c r="F18" t="s">
        <v>188</v>
      </c>
    </row>
    <row r="19" spans="2:6" x14ac:dyDescent="0.25">
      <c r="B19" t="s">
        <v>29</v>
      </c>
      <c r="C19" t="s">
        <v>17</v>
      </c>
      <c r="D19" t="s">
        <v>199</v>
      </c>
      <c r="F19" t="s">
        <v>186</v>
      </c>
    </row>
    <row r="20" spans="2:6" x14ac:dyDescent="0.25">
      <c r="B20" t="s">
        <v>20</v>
      </c>
      <c r="C20" t="s">
        <v>18</v>
      </c>
      <c r="D20" t="s">
        <v>200</v>
      </c>
      <c r="F20" t="s">
        <v>186</v>
      </c>
    </row>
    <row r="21" spans="2:6" x14ac:dyDescent="0.25">
      <c r="B21" t="s">
        <v>20</v>
      </c>
      <c r="C21" t="s">
        <v>19</v>
      </c>
      <c r="D21" t="s">
        <v>201</v>
      </c>
      <c r="F21" t="s">
        <v>186</v>
      </c>
    </row>
    <row r="22" spans="2:6" x14ac:dyDescent="0.25">
      <c r="B22" t="s">
        <v>20</v>
      </c>
      <c r="C22" t="s">
        <v>20</v>
      </c>
      <c r="D22" t="s">
        <v>202</v>
      </c>
      <c r="F22" t="s">
        <v>186</v>
      </c>
    </row>
    <row r="23" spans="2:6" x14ac:dyDescent="0.25">
      <c r="B23" t="s">
        <v>34</v>
      </c>
      <c r="C23" t="s">
        <v>21</v>
      </c>
      <c r="D23" t="s">
        <v>203</v>
      </c>
      <c r="F23" t="s">
        <v>204</v>
      </c>
    </row>
    <row r="24" spans="2:6" x14ac:dyDescent="0.25">
      <c r="B24" t="s">
        <v>34</v>
      </c>
      <c r="C24" t="s">
        <v>22</v>
      </c>
      <c r="D24" t="s">
        <v>205</v>
      </c>
      <c r="F24" t="s">
        <v>188</v>
      </c>
    </row>
    <row r="25" spans="2:6" x14ac:dyDescent="0.25">
      <c r="B25" t="s">
        <v>34</v>
      </c>
      <c r="C25" t="s">
        <v>23</v>
      </c>
      <c r="D25" t="s">
        <v>206</v>
      </c>
      <c r="F25" t="s">
        <v>186</v>
      </c>
    </row>
    <row r="26" spans="2:6" x14ac:dyDescent="0.25">
      <c r="B26" t="s">
        <v>35</v>
      </c>
      <c r="C26" t="s">
        <v>24</v>
      </c>
      <c r="D26" t="s">
        <v>207</v>
      </c>
      <c r="F26" t="s">
        <v>188</v>
      </c>
    </row>
    <row r="27" spans="2:6" x14ac:dyDescent="0.25">
      <c r="B27" t="s">
        <v>34</v>
      </c>
      <c r="C27" t="s">
        <v>25</v>
      </c>
      <c r="D27" t="s">
        <v>208</v>
      </c>
      <c r="F27" t="s">
        <v>186</v>
      </c>
    </row>
    <row r="28" spans="2:6" x14ac:dyDescent="0.25">
      <c r="B28" t="s">
        <v>29</v>
      </c>
      <c r="C28" t="s">
        <v>26</v>
      </c>
      <c r="D28" t="s">
        <v>209</v>
      </c>
      <c r="F28" t="s">
        <v>186</v>
      </c>
    </row>
    <row r="29" spans="2:6" x14ac:dyDescent="0.25">
      <c r="B29" t="s">
        <v>34</v>
      </c>
      <c r="C29" t="s">
        <v>27</v>
      </c>
      <c r="D29" t="s">
        <v>210</v>
      </c>
      <c r="F29" t="s">
        <v>186</v>
      </c>
    </row>
    <row r="30" spans="2:6" x14ac:dyDescent="0.25">
      <c r="B30" t="s">
        <v>35</v>
      </c>
      <c r="C30" t="s">
        <v>28</v>
      </c>
      <c r="D30" t="s">
        <v>211</v>
      </c>
      <c r="F30" t="s">
        <v>186</v>
      </c>
    </row>
    <row r="31" spans="2:6" x14ac:dyDescent="0.25">
      <c r="B31" t="s">
        <v>29</v>
      </c>
      <c r="C31" t="s">
        <v>29</v>
      </c>
      <c r="D31" t="s">
        <v>212</v>
      </c>
      <c r="F31" t="s">
        <v>186</v>
      </c>
    </row>
    <row r="32" spans="2:6" x14ac:dyDescent="0.25">
      <c r="B32" t="s">
        <v>30</v>
      </c>
      <c r="C32" t="s">
        <v>30</v>
      </c>
      <c r="D32" t="s">
        <v>213</v>
      </c>
      <c r="F3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All_India_Index_Upto_April23</vt:lpstr>
      <vt:lpstr>DashBoard</vt:lpstr>
      <vt:lpstr>Story</vt:lpstr>
      <vt:lpstr>CPI Story</vt:lpstr>
      <vt:lpstr>Analysis 1</vt:lpstr>
      <vt:lpstr>Analysis 2</vt:lpstr>
      <vt:lpstr>Analysis 3</vt:lpstr>
      <vt:lpstr>Analysis 4</vt:lpstr>
      <vt:lpstr>Analysis 5</vt:lpstr>
      <vt:lpstr>Crude Oil Prices</vt:lpstr>
      <vt:lpstr>RawAll_India_Index_Upto_April23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Singh Chauhan</cp:lastModifiedBy>
  <cp:revision/>
  <dcterms:created xsi:type="dcterms:W3CDTF">2025-07-22T16:19:46Z</dcterms:created>
  <dcterms:modified xsi:type="dcterms:W3CDTF">2025-11-26T17:59:07Z</dcterms:modified>
  <cp:category/>
  <cp:contentStatus/>
</cp:coreProperties>
</file>